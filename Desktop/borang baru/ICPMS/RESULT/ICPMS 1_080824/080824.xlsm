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.NPRA\Desktop\borang baru\ICPMS\RESULT\ICPMS 1_080824\"/>
    </mc:Choice>
  </mc:AlternateContent>
  <bookViews>
    <workbookView xWindow="0" yWindow="0" windowWidth="28800" windowHeight="12300"/>
  </bookViews>
  <sheets>
    <sheet name="2024070285" sheetId="12" r:id="rId1"/>
    <sheet name="2024070267" sheetId="11" r:id="rId2"/>
    <sheet name="2024070266" sheetId="10" r:id="rId3"/>
    <sheet name="2024070256" sheetId="9" r:id="rId4"/>
    <sheet name="2024070255" sheetId="8" r:id="rId5"/>
    <sheet name="2024070254" sheetId="7" r:id="rId6"/>
    <sheet name="2024070253" sheetId="6" r:id="rId7"/>
    <sheet name="2024070251" sheetId="5" r:id="rId8"/>
    <sheet name="2024070200" sheetId="4" r:id="rId9"/>
    <sheet name="2024070193" sheetId="3" r:id="rId10"/>
    <sheet name="2024070100" sheetId="2" r:id="rId11"/>
    <sheet name="2024070099" sheetId="1" r:id="rId12"/>
  </sheets>
  <calcPr calcId="162913"/>
  <extLst>
    <ext uri="GoogleSheetsCustomDataVersion2">
      <go:sheetsCustomData xmlns:go="http://customooxmlschemas.google.com/" r:id="rId13" roundtripDataChecksum="OeDx82juqHY3uZlQVjZ5VC9zV5eEQciKrCMwgyxCCXY="/>
    </ext>
  </extLst>
</workbook>
</file>

<file path=xl/calcChain.xml><?xml version="1.0" encoding="utf-8"?>
<calcChain xmlns="http://schemas.openxmlformats.org/spreadsheetml/2006/main">
  <c r="C30" i="12" l="1"/>
  <c r="H29" i="12"/>
  <c r="C27" i="12"/>
  <c r="H26" i="12"/>
  <c r="C24" i="12"/>
  <c r="H23" i="12" s="1"/>
  <c r="C21" i="12"/>
  <c r="H20" i="12"/>
  <c r="C30" i="11"/>
  <c r="H29" i="11" s="1"/>
  <c r="C27" i="11"/>
  <c r="H26" i="11"/>
  <c r="C24" i="11"/>
  <c r="H23" i="11"/>
  <c r="C21" i="11"/>
  <c r="H20" i="11"/>
  <c r="C30" i="10"/>
  <c r="H29" i="10"/>
  <c r="C27" i="10"/>
  <c r="H26" i="10" s="1"/>
  <c r="C24" i="10"/>
  <c r="H23" i="10" s="1"/>
  <c r="C21" i="10"/>
  <c r="H20" i="10"/>
  <c r="C30" i="9"/>
  <c r="H29" i="9"/>
  <c r="C27" i="9"/>
  <c r="H26" i="9"/>
  <c r="C24" i="9"/>
  <c r="H23" i="9"/>
  <c r="C21" i="9"/>
  <c r="H20" i="9"/>
  <c r="C30" i="8"/>
  <c r="H29" i="8"/>
  <c r="C27" i="8"/>
  <c r="H26" i="8"/>
  <c r="C24" i="8"/>
  <c r="H23" i="8" s="1"/>
  <c r="C21" i="8"/>
  <c r="H20" i="8"/>
  <c r="C30" i="7"/>
  <c r="H29" i="7"/>
  <c r="C27" i="7"/>
  <c r="H26" i="7" s="1"/>
  <c r="C24" i="7"/>
  <c r="H23" i="7" s="1"/>
  <c r="C21" i="7"/>
  <c r="H20" i="7"/>
  <c r="C30" i="6"/>
  <c r="H29" i="6"/>
  <c r="C27" i="6"/>
  <c r="H26" i="6"/>
  <c r="C24" i="6"/>
  <c r="H23" i="6" s="1"/>
  <c r="C21" i="6"/>
  <c r="H20" i="6"/>
  <c r="C30" i="5"/>
  <c r="H29" i="5"/>
  <c r="C27" i="5"/>
  <c r="H26" i="5" s="1"/>
  <c r="C24" i="5"/>
  <c r="H23" i="5"/>
  <c r="C21" i="5"/>
  <c r="H20" i="5"/>
  <c r="C30" i="4"/>
  <c r="H29" i="4"/>
  <c r="C27" i="4"/>
  <c r="H26" i="4"/>
  <c r="C24" i="4"/>
  <c r="H23" i="4" s="1"/>
  <c r="C21" i="4"/>
  <c r="H20" i="4"/>
  <c r="C30" i="3"/>
  <c r="H29" i="3"/>
  <c r="C27" i="3"/>
  <c r="H26" i="3"/>
  <c r="C24" i="3"/>
  <c r="H23" i="3"/>
  <c r="C21" i="3"/>
  <c r="H20" i="3" s="1"/>
  <c r="C30" i="2"/>
  <c r="H29" i="2"/>
  <c r="C27" i="2"/>
  <c r="H26" i="2" s="1"/>
  <c r="C24" i="2"/>
  <c r="H23" i="2" s="1"/>
  <c r="C21" i="2"/>
  <c r="H20" i="2" s="1"/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<sst xmlns="http://schemas.openxmlformats.org/spreadsheetml/2006/main" count="996" uniqueCount="68">
  <si>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</si>
  <si>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</si>
  <si>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</si>
  <si>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</si>
  <si>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</si>
  <si>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</si>
  <si>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</si>
  <si>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</si>
  <si>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</si>
  <si>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</si>
  <si>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</si>
  <si>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</si>
  <si>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</si>
  <si>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</si>
  <si>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</si>
  <si>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</si>
  <si>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</si>
  <si>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</si>
  <si>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</si>
  <si>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</si>
  <si>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</si>
  <si>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</si>
  <si>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</si>
  <si>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</si>
  <si>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</si>
  <si>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</si>
  <si>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</si>
  <si>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</si>
  <si>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</si>
  <si>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</si>
  <si>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</si>
  <si>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</si>
  <si>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</si>
  <si>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</si>
  <si>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</si>
  <si>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</si>
  <si>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</si>
  <si>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</si>
  <si>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</si>
  <si>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</si>
  <si>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</si>
  <si>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</si>
  <si>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</si>
  <si>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</si>
  <si>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</si>
  <si>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</si>
  <si>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</si>
  <si>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</si>
  <si>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</si>
  <si>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</si>
  <si>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</si>
  <si>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</si>
  <si>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</si>
  <si>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</si>
  <si>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</si>
  <si>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</si>
  <si>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</si>
  <si>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</si>
  <si>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</si>
  <si>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</si>
  <si>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</si>
  <si>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</si>
  <si>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</si>
  <si>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</si>
  <si>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</si>
  <si>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</si>
  <si>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</si>
  <si>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NORDIYANA      IQBAL    08/08/2024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</si>
</sst>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rgb="FFBFBFBF"/>
      </patternFill>
    </fill>
    <fill>
      <patternFill patternType="solid">
        <fgColor theme="0"/>
        <bgColor rgb="FFD8D8D8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100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0" xfId="0" applyFont="1" applyAlignment="1">
      <alignment vertical="center" wrapText="1"/>
    </xf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  <xf numFmtId="164" fontId="6" fillId="2" borderId="0" xfId="0" applyNumberFormat="1" applyFont="1" applyFill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1" fontId="3" fillId="4" borderId="1" xfId="0" applyNumberFormat="1" applyFont="1" applyFill="1" applyBorder="1" applyAlignment="1">
      <alignment horizontal="center" wrapText="1"/>
    </xf>
    <xf numFmtId="0" fontId="2" fillId="2" borderId="2" xfId="0" applyFont="1" applyFill="1" applyBorder="1"/>
    <xf numFmtId="0" fontId="2" fillId="2" borderId="3" xfId="0" applyFont="1" applyFill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customschemas.google.com/relationships/workbookmetadata" Target="meta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checked="Checked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checked="Checked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checked="Checked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checked="Checked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2293" name="Check Box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2294" name="Check Box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1266" name="Check Box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1267" name="Check Box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1268" name="Check Box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1269" name="Check Box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1270" name="Check Box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41" name="Check Box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42" name="Check Box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243" name="Check Box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245" name="Check Box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246" name="Check Box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9221" name="Check Box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9222" name="Check Box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8194" name="Check Box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8195" name="Check Box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8196" name="Check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8197" name="Check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8198" name="Check Box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7169" name="Check Box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7170" name="Check Box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7171" name="Check Box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7172" name="Check Box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7173" name="Check Box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7174" name="Check Box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6145" name="Check Box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6146" name="Check Box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6147" name="Check Box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6148" name="Check Box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6150" name="Check Box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Z579"/>
  <sheetViews>
    <sheetView tabSelected="1" view="pageLayout" topLeftCell="A28" zoomScale="112" zoomScaleNormal="100" zoomScalePageLayoutView="112" workbookViewId="0">
      <selection activeCell="C30" sqref="C30:D30"/>
    </sheetView>
  </sheetViews>
  <sheetFormatPr defaultColWidth="14.42578125" defaultRowHeight="15" customHeight="1"/>
  <cols>
    <col min="1" max="1" width="12.85546875" style="41" customWidth="1"/>
    <col min="2" max="2" width="8" style="41" customWidth="1"/>
    <col min="3" max="3" width="11.28515625" style="41" customWidth="1"/>
    <col min="4" max="4" width="6" style="41" customWidth="1"/>
    <col min="5" max="5" width="6.85546875" style="41" customWidth="1"/>
    <col min="6" max="6" width="12.140625" style="41" customWidth="1"/>
    <col min="7" max="7" width="10" style="41" customWidth="1"/>
    <col min="8" max="8" width="8.5703125" style="41" customWidth="1"/>
    <col min="9" max="9" width="4.5703125" style="41" customWidth="1"/>
    <col min="10" max="10" width="6.7109375" style="41" customWidth="1"/>
    <col min="11" max="11" width="8" style="41" customWidth="1"/>
    <col min="12" max="16384" width="14.42578125" style="41"/>
  </cols>
  <sheetData>
    <row r="1" spans="1:26">
      <c r="A1" s="70" t="s">
        <v>0</v>
      </c>
      <c r="B1" s="71"/>
      <c r="C1" s="71"/>
      <c r="D1" s="71"/>
      <c r="E1" s="71"/>
      <c r="F1" s="71"/>
      <c r="G1" s="71"/>
      <c r="H1" s="71"/>
      <c r="I1" s="71"/>
      <c r="J1" s="72"/>
    </row>
    <row r="2" spans="1:26">
      <c r="A2" s="70" t="s">
        <v>1</v>
      </c>
      <c r="B2" s="71"/>
      <c r="C2" s="71"/>
      <c r="D2" s="71"/>
      <c r="E2" s="71"/>
      <c r="F2" s="71"/>
      <c r="G2" s="71"/>
      <c r="H2" s="71"/>
      <c r="I2" s="71"/>
      <c r="J2" s="72"/>
    </row>
    <row r="3" spans="1:26">
      <c r="A3" s="73" t="s">
        <v>2</v>
      </c>
      <c r="B3" s="71"/>
      <c r="C3" s="72"/>
      <c r="D3" s="94">
        <v>2024070285</v>
      </c>
      <c r="E3" s="95"/>
      <c r="F3" s="95"/>
      <c r="G3" s="95"/>
      <c r="H3" s="95"/>
      <c r="I3" s="95"/>
      <c r="J3" s="96"/>
    </row>
    <row r="4" spans="1:26">
      <c r="A4" s="73" t="s">
        <v>3</v>
      </c>
      <c r="B4" s="71"/>
      <c r="C4" s="72"/>
      <c r="D4" s="94">
        <v>80824</v>
      </c>
      <c r="E4" s="95"/>
      <c r="F4" s="95"/>
      <c r="G4" s="95"/>
      <c r="H4" s="95"/>
      <c r="I4" s="95"/>
      <c r="J4" s="96"/>
    </row>
    <row r="5" spans="1:26" ht="15" customHeight="1">
      <c r="A5" s="74" t="s">
        <v>4</v>
      </c>
      <c r="B5" s="71"/>
      <c r="C5" s="71"/>
      <c r="D5" s="71"/>
      <c r="E5" s="71"/>
      <c r="F5" s="71"/>
      <c r="G5" s="71"/>
      <c r="H5" s="71"/>
      <c r="I5" s="71"/>
      <c r="J5" s="7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4" t="s">
        <v>5</v>
      </c>
      <c r="B6" s="71"/>
      <c r="C6" s="71"/>
      <c r="D6" s="71"/>
      <c r="E6" s="71"/>
      <c r="F6" s="71"/>
      <c r="G6" s="71"/>
      <c r="H6" s="71"/>
      <c r="I6" s="71"/>
      <c r="J6" s="72"/>
    </row>
    <row r="7" spans="1:26" ht="30" customHeight="1">
      <c r="A7" s="75" t="s">
        <v>6</v>
      </c>
      <c r="B7" s="66"/>
      <c r="C7" s="76" t="s">
        <v>7</v>
      </c>
      <c r="D7" s="66"/>
      <c r="E7" s="66"/>
      <c r="F7" s="44" t="s">
        <v>8</v>
      </c>
      <c r="G7" s="65" t="s">
        <v>9</v>
      </c>
      <c r="H7" s="66"/>
      <c r="I7" s="66"/>
      <c r="J7" s="67"/>
    </row>
    <row r="8" spans="1:26" ht="15" customHeight="1">
      <c r="A8" s="77" t="s">
        <v>10</v>
      </c>
      <c r="B8" s="46"/>
      <c r="C8" s="78" t="s">
        <v>11</v>
      </c>
      <c r="D8" s="46"/>
      <c r="E8" s="4"/>
      <c r="F8" s="40" t="s">
        <v>12</v>
      </c>
      <c r="G8" s="6" t="s">
        <v>13</v>
      </c>
      <c r="H8" s="6" t="s">
        <v>14</v>
      </c>
      <c r="I8" s="68"/>
      <c r="J8" s="69"/>
    </row>
    <row r="9" spans="1:26" ht="30" customHeight="1">
      <c r="A9" s="77" t="s">
        <v>15</v>
      </c>
      <c r="B9" s="46"/>
      <c r="C9" s="78" t="s">
        <v>16</v>
      </c>
      <c r="D9" s="46"/>
      <c r="E9" s="7"/>
      <c r="F9" s="44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7" t="s">
        <v>20</v>
      </c>
      <c r="B10" s="46"/>
      <c r="C10" s="78" t="s">
        <v>21</v>
      </c>
      <c r="D10" s="46"/>
      <c r="E10" s="7"/>
      <c r="F10" s="44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7" t="s">
        <v>25</v>
      </c>
      <c r="B11" s="46"/>
      <c r="C11" s="78" t="s">
        <v>26</v>
      </c>
      <c r="D11" s="46"/>
      <c r="E11" s="7"/>
      <c r="F11" s="44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7" t="s">
        <v>30</v>
      </c>
      <c r="B12" s="46"/>
      <c r="C12" s="78" t="s">
        <v>31</v>
      </c>
      <c r="D12" s="46"/>
      <c r="E12" s="7"/>
      <c r="F12" s="44" t="s">
        <v>32</v>
      </c>
      <c r="G12" s="8" t="s">
        <v>33</v>
      </c>
      <c r="H12" s="8" t="s">
        <v>34</v>
      </c>
      <c r="I12" s="9"/>
      <c r="J12" s="10"/>
    </row>
    <row r="13" spans="1:26" ht="30">
      <c r="A13" s="77" t="s">
        <v>35</v>
      </c>
      <c r="B13" s="46"/>
      <c r="C13" s="78" t="s">
        <v>36</v>
      </c>
      <c r="D13" s="46"/>
      <c r="E13" s="7"/>
      <c r="F13" s="44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7" t="s">
        <v>40</v>
      </c>
      <c r="B14" s="46"/>
      <c r="C14" s="78" t="s">
        <v>41</v>
      </c>
      <c r="D14" s="46"/>
      <c r="E14" s="7"/>
      <c r="F14" s="79" t="s">
        <v>42</v>
      </c>
      <c r="G14" s="46"/>
      <c r="H14" s="46"/>
      <c r="I14" s="80" t="s">
        <v>43</v>
      </c>
      <c r="J14" s="69"/>
    </row>
    <row r="15" spans="1:26" ht="15" customHeight="1">
      <c r="A15" s="77" t="s">
        <v>44</v>
      </c>
      <c r="B15" s="46"/>
      <c r="C15" s="78" t="s">
        <v>45</v>
      </c>
      <c r="D15" s="46"/>
      <c r="E15" s="7"/>
      <c r="F15" s="81" t="s">
        <v>64</v>
      </c>
      <c r="G15" s="46"/>
      <c r="H15" s="46"/>
      <c r="I15" s="47">
        <v>45808</v>
      </c>
      <c r="J15" s="48"/>
    </row>
    <row r="16" spans="1:26" ht="15" customHeight="1">
      <c r="A16" s="77" t="s">
        <v>46</v>
      </c>
      <c r="B16" s="46"/>
      <c r="C16" s="82" t="s">
        <v>47</v>
      </c>
      <c r="D16" s="46"/>
      <c r="E16" s="46"/>
      <c r="F16" s="45" t="s">
        <v>65</v>
      </c>
      <c r="G16" s="46"/>
      <c r="H16" s="46"/>
      <c r="I16" s="47">
        <v>45716</v>
      </c>
      <c r="J16" s="48"/>
    </row>
    <row r="17" spans="1:26">
      <c r="A17" s="42"/>
      <c r="B17" s="44"/>
      <c r="C17" s="43"/>
      <c r="D17" s="43"/>
      <c r="E17" s="43"/>
      <c r="F17" s="45" t="s">
        <v>66</v>
      </c>
      <c r="G17" s="46"/>
      <c r="H17" s="46"/>
      <c r="I17" s="47">
        <v>45688</v>
      </c>
      <c r="J17" s="4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9" t="s">
        <v>63</v>
      </c>
      <c r="G18" s="50"/>
      <c r="H18" s="50"/>
      <c r="I18" s="51">
        <v>46142</v>
      </c>
      <c r="J18" s="52"/>
    </row>
    <row r="19" spans="1:26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>
      <c r="A20" s="53" t="s">
        <v>49</v>
      </c>
      <c r="B20" s="54"/>
      <c r="C20" s="90">
        <v>7.1429999999999998</v>
      </c>
      <c r="D20" s="31" t="s">
        <v>50</v>
      </c>
      <c r="E20" s="32">
        <v>1000</v>
      </c>
      <c r="F20" s="55" t="s">
        <v>51</v>
      </c>
      <c r="G20" s="54"/>
      <c r="H20" s="56" t="str">
        <f>IF(AND(C21&lt;0.15),"&lt;0.15",C21)</f>
        <v>&lt;0.15</v>
      </c>
      <c r="I20" s="57"/>
      <c r="J20" s="33" t="s">
        <v>52</v>
      </c>
    </row>
    <row r="21" spans="1:26" ht="15.75" customHeight="1">
      <c r="A21" s="34" t="s">
        <v>53</v>
      </c>
      <c r="B21" s="35"/>
      <c r="C21" s="58">
        <f>C20/1000</f>
        <v>7.143E-3</v>
      </c>
      <c r="D21" s="59"/>
      <c r="E21" s="36"/>
      <c r="F21" s="35"/>
      <c r="G21" s="35"/>
      <c r="H21" s="35"/>
      <c r="I21" s="35"/>
      <c r="J21" s="33"/>
    </row>
    <row r="22" spans="1:26" ht="15.75" customHeight="1">
      <c r="A22" s="91" t="s">
        <v>56</v>
      </c>
      <c r="B22" s="92"/>
      <c r="C22" s="92"/>
      <c r="D22" s="92"/>
      <c r="E22" s="92"/>
      <c r="F22" s="92"/>
      <c r="G22" s="92"/>
      <c r="H22" s="92"/>
      <c r="I22" s="92"/>
      <c r="J22" s="9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3" t="s">
        <v>49</v>
      </c>
      <c r="B23" s="54"/>
      <c r="C23" s="90">
        <v>6.19</v>
      </c>
      <c r="D23" s="31" t="s">
        <v>50</v>
      </c>
      <c r="E23" s="37">
        <v>1000</v>
      </c>
      <c r="F23" s="55" t="s">
        <v>51</v>
      </c>
      <c r="G23" s="54"/>
      <c r="H23" s="56" t="str">
        <f>IF(C24&lt;0.15,"&lt;0.15",C24)</f>
        <v>&lt;0.15</v>
      </c>
      <c r="I23" s="57"/>
      <c r="J23" s="33" t="s">
        <v>52</v>
      </c>
    </row>
    <row r="24" spans="1:26" ht="15.75" customHeight="1">
      <c r="A24" s="34" t="s">
        <v>53</v>
      </c>
      <c r="B24" s="35"/>
      <c r="C24" s="58">
        <f>C23/1000</f>
        <v>6.1900000000000002E-3</v>
      </c>
      <c r="D24" s="59"/>
      <c r="E24" s="36"/>
      <c r="F24" s="35"/>
      <c r="G24" s="35"/>
      <c r="H24" s="35"/>
      <c r="I24" s="35"/>
      <c r="J24" s="33"/>
    </row>
    <row r="25" spans="1:26" ht="15.75" customHeight="1">
      <c r="A25" s="91" t="s">
        <v>54</v>
      </c>
      <c r="B25" s="92"/>
      <c r="C25" s="92"/>
      <c r="D25" s="92"/>
      <c r="E25" s="92"/>
      <c r="F25" s="92"/>
      <c r="G25" s="92"/>
      <c r="H25" s="92"/>
      <c r="I25" s="92"/>
      <c r="J25" s="9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0" t="s">
        <v>49</v>
      </c>
      <c r="B26" s="46"/>
      <c r="C26" s="90">
        <v>2.0470000000000002</v>
      </c>
      <c r="D26" s="31" t="s">
        <v>50</v>
      </c>
      <c r="E26" s="37">
        <v>1000</v>
      </c>
      <c r="F26" s="61" t="s">
        <v>51</v>
      </c>
      <c r="G26" s="54"/>
      <c r="H26" s="56" t="str">
        <f>IF(AND(C27&lt;0.15),"&lt;0.15",C27)</f>
        <v>&lt;0.15</v>
      </c>
      <c r="I26" s="57"/>
      <c r="J26" s="38" t="s">
        <v>52</v>
      </c>
    </row>
    <row r="27" spans="1:26" ht="15.75" customHeight="1">
      <c r="A27" s="34" t="s">
        <v>53</v>
      </c>
      <c r="B27" s="35"/>
      <c r="C27" s="62">
        <f>C26/1000</f>
        <v>2.0470000000000002E-3</v>
      </c>
      <c r="D27" s="63"/>
      <c r="E27" s="36"/>
      <c r="F27" s="35"/>
      <c r="G27" s="35"/>
      <c r="H27" s="35"/>
      <c r="I27" s="35"/>
      <c r="J27" s="33"/>
    </row>
    <row r="28" spans="1:26" ht="15.75" customHeight="1">
      <c r="A28" s="91" t="s">
        <v>55</v>
      </c>
      <c r="B28" s="92"/>
      <c r="C28" s="92"/>
      <c r="D28" s="92"/>
      <c r="E28" s="92"/>
      <c r="F28" s="92"/>
      <c r="G28" s="92"/>
      <c r="H28" s="92"/>
      <c r="I28" s="92"/>
      <c r="J28" s="9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0" t="s">
        <v>49</v>
      </c>
      <c r="B29" s="46"/>
      <c r="C29" s="90">
        <v>72.113</v>
      </c>
      <c r="D29" s="31" t="s">
        <v>50</v>
      </c>
      <c r="E29" s="37">
        <v>1000</v>
      </c>
      <c r="F29" s="64" t="s">
        <v>51</v>
      </c>
      <c r="G29" s="46"/>
      <c r="H29" s="56" t="str">
        <f>IF(AND(C30&lt;0.15),"&lt;0.15",C30)</f>
        <v>&lt;0.15</v>
      </c>
      <c r="I29" s="57"/>
      <c r="J29" s="33" t="s">
        <v>52</v>
      </c>
    </row>
    <row r="30" spans="1:26" ht="15.75" customHeight="1">
      <c r="A30" s="34" t="s">
        <v>53</v>
      </c>
      <c r="B30" s="35"/>
      <c r="C30" s="58">
        <f>C29/1000</f>
        <v>7.2112999999999997E-2</v>
      </c>
      <c r="D30" s="59"/>
      <c r="E30" s="36"/>
      <c r="F30" s="35"/>
      <c r="G30" s="35"/>
      <c r="H30" s="35"/>
      <c r="I30" s="35"/>
      <c r="J30" s="33"/>
    </row>
    <row r="31" spans="1:26" ht="15.75" customHeight="1">
      <c r="A31" s="86" t="s">
        <v>57</v>
      </c>
      <c r="B31" s="66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7" t="s">
        <v>59</v>
      </c>
      <c r="C32" s="46"/>
      <c r="D32" s="46"/>
      <c r="E32" s="69"/>
      <c r="F32" s="1"/>
      <c r="G32" s="1"/>
      <c r="H32" s="1"/>
      <c r="I32" s="1"/>
      <c r="J32" s="16"/>
    </row>
    <row r="33" spans="1:26" ht="15.75" customHeight="1">
      <c r="A33" s="21"/>
      <c r="B33" s="46"/>
      <c r="C33" s="46"/>
      <c r="D33" s="46"/>
      <c r="E33" s="69"/>
      <c r="F33" s="22"/>
      <c r="G33" s="1"/>
      <c r="H33" s="1"/>
      <c r="I33" s="1"/>
      <c r="J33" s="16"/>
    </row>
    <row r="34" spans="1:26" ht="15.75" customHeight="1">
      <c r="A34" s="23"/>
      <c r="B34" s="87" t="s">
        <v>60</v>
      </c>
      <c r="C34" s="46"/>
      <c r="D34" s="46"/>
      <c r="E34" s="69"/>
      <c r="F34" s="1"/>
      <c r="G34" s="1"/>
      <c r="H34" s="1"/>
      <c r="I34" s="1"/>
      <c r="J34" s="16"/>
    </row>
    <row r="35" spans="1:26" ht="15.75" customHeight="1">
      <c r="A35" s="23"/>
      <c r="B35" s="46"/>
      <c r="C35" s="46"/>
      <c r="D35" s="46"/>
      <c r="E35" s="6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3.5" customHeight="1">
      <c r="A38" s="88" t="s">
        <v>61</v>
      </c>
      <c r="B38" s="66"/>
      <c r="C38" s="66"/>
      <c r="D38" s="66"/>
      <c r="E38" s="67"/>
      <c r="F38" s="24"/>
      <c r="G38" s="25"/>
      <c r="H38" s="25"/>
      <c r="I38" s="25"/>
      <c r="J38" s="17"/>
    </row>
    <row r="39" spans="1:26" ht="12.75" customHeight="1">
      <c r="A39" s="84"/>
      <c r="B39" s="85"/>
      <c r="C39" s="85"/>
      <c r="D39" s="85"/>
      <c r="E39" s="89"/>
      <c r="F39" s="39" t="s">
        <v>67</v>
      </c>
      <c r="G39" s="27"/>
      <c r="H39" s="27"/>
      <c r="I39" s="27"/>
      <c r="J39" s="28"/>
    </row>
    <row r="40" spans="1:26" ht="15.75" customHeight="1">
      <c r="A40" s="83" t="s">
        <v>62</v>
      </c>
      <c r="B40" s="66"/>
      <c r="C40" s="66"/>
      <c r="D40" s="66"/>
      <c r="E40" s="66"/>
      <c r="F40" s="29"/>
      <c r="G40" s="25"/>
      <c r="H40" s="25"/>
      <c r="I40" s="25"/>
      <c r="J40" s="16"/>
    </row>
    <row r="41" spans="1:26" ht="11.25" customHeight="1">
      <c r="A41" s="84"/>
      <c r="B41" s="85"/>
      <c r="C41" s="85"/>
      <c r="D41" s="85"/>
      <c r="E41" s="85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B34:E35"/>
    <mergeCell ref="A38:E39"/>
    <mergeCell ref="A40:E41"/>
    <mergeCell ref="A29:B29"/>
    <mergeCell ref="F29:G29"/>
    <mergeCell ref="H29:I29"/>
    <mergeCell ref="C30:D30"/>
    <mergeCell ref="A31:B31"/>
    <mergeCell ref="B32:E33"/>
    <mergeCell ref="A25:J25"/>
    <mergeCell ref="A26:B26"/>
    <mergeCell ref="F26:G26"/>
    <mergeCell ref="H26:I26"/>
    <mergeCell ref="C27:D27"/>
    <mergeCell ref="A28:J28"/>
    <mergeCell ref="C21:D21"/>
    <mergeCell ref="A22:J22"/>
    <mergeCell ref="A23:B23"/>
    <mergeCell ref="F23:G23"/>
    <mergeCell ref="H23:I23"/>
    <mergeCell ref="C24:D24"/>
    <mergeCell ref="F18:H18"/>
    <mergeCell ref="I18:J18"/>
    <mergeCell ref="A19:J19"/>
    <mergeCell ref="A20:B20"/>
    <mergeCell ref="F20:G20"/>
    <mergeCell ref="H20:I20"/>
    <mergeCell ref="A16:B16"/>
    <mergeCell ref="C16:E16"/>
    <mergeCell ref="F16:H16"/>
    <mergeCell ref="I16:J16"/>
    <mergeCell ref="F17:H17"/>
    <mergeCell ref="I17:J17"/>
    <mergeCell ref="F14:H14"/>
    <mergeCell ref="I14:J14"/>
    <mergeCell ref="A15:B15"/>
    <mergeCell ref="C15:D15"/>
    <mergeCell ref="F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5:J5"/>
    <mergeCell ref="A6:J6"/>
    <mergeCell ref="A7:B7"/>
    <mergeCell ref="C7:E7"/>
    <mergeCell ref="G7:J7"/>
    <mergeCell ref="A8:B8"/>
    <mergeCell ref="C8:D8"/>
    <mergeCell ref="I8:J8"/>
    <mergeCell ref="A1:J1"/>
    <mergeCell ref="A2:J2"/>
    <mergeCell ref="A3:C3"/>
    <mergeCell ref="D3:J3"/>
    <mergeCell ref="A4:C4"/>
    <mergeCell ref="D4:J4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Z579"/>
  <sheetViews>
    <sheetView view="pageLayout" topLeftCell="A21" zoomScale="112" zoomScaleNormal="100" zoomScalePageLayoutView="112" workbookViewId="0">
      <selection activeCell="C30" sqref="C30:D30"/>
    </sheetView>
  </sheetViews>
  <sheetFormatPr defaultColWidth="14.42578125" defaultRowHeight="15" customHeight="1"/>
  <cols>
    <col min="1" max="1" width="12.85546875" style="41" customWidth="1"/>
    <col min="2" max="2" width="8" style="41" customWidth="1"/>
    <col min="3" max="3" width="11.28515625" style="41" customWidth="1"/>
    <col min="4" max="4" width="6" style="41" customWidth="1"/>
    <col min="5" max="5" width="6.85546875" style="41" customWidth="1"/>
    <col min="6" max="6" width="12.140625" style="41" customWidth="1"/>
    <col min="7" max="7" width="10" style="41" customWidth="1"/>
    <col min="8" max="8" width="8.5703125" style="41" customWidth="1"/>
    <col min="9" max="9" width="4.5703125" style="41" customWidth="1"/>
    <col min="10" max="10" width="6.7109375" style="41" customWidth="1"/>
    <col min="11" max="11" width="8" style="41" customWidth="1"/>
    <col min="12" max="16384" width="14.42578125" style="41"/>
  </cols>
  <sheetData>
    <row r="1" spans="1:26">
      <c r="A1" s="70" t="s">
        <v>0</v>
      </c>
      <c r="B1" s="71"/>
      <c r="C1" s="71"/>
      <c r="D1" s="71"/>
      <c r="E1" s="71"/>
      <c r="F1" s="71"/>
      <c r="G1" s="71"/>
      <c r="H1" s="71"/>
      <c r="I1" s="71"/>
      <c r="J1" s="72"/>
    </row>
    <row r="2" spans="1:26">
      <c r="A2" s="70" t="s">
        <v>1</v>
      </c>
      <c r="B2" s="71"/>
      <c r="C2" s="71"/>
      <c r="D2" s="71"/>
      <c r="E2" s="71"/>
      <c r="F2" s="71"/>
      <c r="G2" s="71"/>
      <c r="H2" s="71"/>
      <c r="I2" s="71"/>
      <c r="J2" s="72"/>
    </row>
    <row r="3" spans="1:26">
      <c r="A3" s="73" t="s">
        <v>2</v>
      </c>
      <c r="B3" s="71"/>
      <c r="C3" s="72"/>
      <c r="D3" s="94">
        <v>2024070267</v>
      </c>
      <c r="E3" s="95"/>
      <c r="F3" s="95"/>
      <c r="G3" s="95"/>
      <c r="H3" s="95"/>
      <c r="I3" s="95"/>
      <c r="J3" s="96"/>
    </row>
    <row r="4" spans="1:26">
      <c r="A4" s="73" t="s">
        <v>3</v>
      </c>
      <c r="B4" s="71"/>
      <c r="C4" s="72"/>
      <c r="D4" s="94">
        <v>80824</v>
      </c>
      <c r="E4" s="95"/>
      <c r="F4" s="95"/>
      <c r="G4" s="95"/>
      <c r="H4" s="95"/>
      <c r="I4" s="95"/>
      <c r="J4" s="96"/>
    </row>
    <row r="5" spans="1:26" ht="15" customHeight="1">
      <c r="A5" s="74" t="s">
        <v>4</v>
      </c>
      <c r="B5" s="71"/>
      <c r="C5" s="71"/>
      <c r="D5" s="71"/>
      <c r="E5" s="71"/>
      <c r="F5" s="71"/>
      <c r="G5" s="71"/>
      <c r="H5" s="71"/>
      <c r="I5" s="71"/>
      <c r="J5" s="7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4" t="s">
        <v>5</v>
      </c>
      <c r="B6" s="71"/>
      <c r="C6" s="71"/>
      <c r="D6" s="71"/>
      <c r="E6" s="71"/>
      <c r="F6" s="71"/>
      <c r="G6" s="71"/>
      <c r="H6" s="71"/>
      <c r="I6" s="71"/>
      <c r="J6" s="72"/>
    </row>
    <row r="7" spans="1:26" ht="30" customHeight="1">
      <c r="A7" s="75" t="s">
        <v>6</v>
      </c>
      <c r="B7" s="66"/>
      <c r="C7" s="76" t="s">
        <v>7</v>
      </c>
      <c r="D7" s="66"/>
      <c r="E7" s="66"/>
      <c r="F7" s="44" t="s">
        <v>8</v>
      </c>
      <c r="G7" s="65" t="s">
        <v>9</v>
      </c>
      <c r="H7" s="66"/>
      <c r="I7" s="66"/>
      <c r="J7" s="67"/>
    </row>
    <row r="8" spans="1:26" ht="15" customHeight="1">
      <c r="A8" s="77" t="s">
        <v>10</v>
      </c>
      <c r="B8" s="46"/>
      <c r="C8" s="78" t="s">
        <v>11</v>
      </c>
      <c r="D8" s="46"/>
      <c r="E8" s="4"/>
      <c r="F8" s="40" t="s">
        <v>12</v>
      </c>
      <c r="G8" s="6" t="s">
        <v>13</v>
      </c>
      <c r="H8" s="6" t="s">
        <v>14</v>
      </c>
      <c r="I8" s="68"/>
      <c r="J8" s="69"/>
    </row>
    <row r="9" spans="1:26" ht="30" customHeight="1">
      <c r="A9" s="77" t="s">
        <v>15</v>
      </c>
      <c r="B9" s="46"/>
      <c r="C9" s="78" t="s">
        <v>16</v>
      </c>
      <c r="D9" s="46"/>
      <c r="E9" s="7"/>
      <c r="F9" s="44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7" t="s">
        <v>20</v>
      </c>
      <c r="B10" s="46"/>
      <c r="C10" s="78" t="s">
        <v>21</v>
      </c>
      <c r="D10" s="46"/>
      <c r="E10" s="7"/>
      <c r="F10" s="44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7" t="s">
        <v>25</v>
      </c>
      <c r="B11" s="46"/>
      <c r="C11" s="78" t="s">
        <v>26</v>
      </c>
      <c r="D11" s="46"/>
      <c r="E11" s="7"/>
      <c r="F11" s="44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7" t="s">
        <v>30</v>
      </c>
      <c r="B12" s="46"/>
      <c r="C12" s="78" t="s">
        <v>31</v>
      </c>
      <c r="D12" s="46"/>
      <c r="E12" s="7"/>
      <c r="F12" s="44" t="s">
        <v>32</v>
      </c>
      <c r="G12" s="8" t="s">
        <v>33</v>
      </c>
      <c r="H12" s="8" t="s">
        <v>34</v>
      </c>
      <c r="I12" s="9"/>
      <c r="J12" s="10"/>
    </row>
    <row r="13" spans="1:26" ht="30">
      <c r="A13" s="77" t="s">
        <v>35</v>
      </c>
      <c r="B13" s="46"/>
      <c r="C13" s="78" t="s">
        <v>36</v>
      </c>
      <c r="D13" s="46"/>
      <c r="E13" s="7"/>
      <c r="F13" s="44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7" t="s">
        <v>40</v>
      </c>
      <c r="B14" s="46"/>
      <c r="C14" s="78" t="s">
        <v>41</v>
      </c>
      <c r="D14" s="46"/>
      <c r="E14" s="7"/>
      <c r="F14" s="79" t="s">
        <v>42</v>
      </c>
      <c r="G14" s="46"/>
      <c r="H14" s="46"/>
      <c r="I14" s="80" t="s">
        <v>43</v>
      </c>
      <c r="J14" s="69"/>
    </row>
    <row r="15" spans="1:26" ht="15" customHeight="1">
      <c r="A15" s="77" t="s">
        <v>44</v>
      </c>
      <c r="B15" s="46"/>
      <c r="C15" s="78" t="s">
        <v>45</v>
      </c>
      <c r="D15" s="46"/>
      <c r="E15" s="7"/>
      <c r="F15" s="81" t="s">
        <v>64</v>
      </c>
      <c r="G15" s="46"/>
      <c r="H15" s="46"/>
      <c r="I15" s="47">
        <v>45808</v>
      </c>
      <c r="J15" s="48"/>
    </row>
    <row r="16" spans="1:26" ht="15" customHeight="1">
      <c r="A16" s="77" t="s">
        <v>46</v>
      </c>
      <c r="B16" s="46"/>
      <c r="C16" s="82" t="s">
        <v>47</v>
      </c>
      <c r="D16" s="46"/>
      <c r="E16" s="46"/>
      <c r="F16" s="45" t="s">
        <v>65</v>
      </c>
      <c r="G16" s="46"/>
      <c r="H16" s="46"/>
      <c r="I16" s="47">
        <v>45716</v>
      </c>
      <c r="J16" s="48"/>
    </row>
    <row r="17" spans="1:26">
      <c r="A17" s="42"/>
      <c r="B17" s="44"/>
      <c r="C17" s="43"/>
      <c r="D17" s="43"/>
      <c r="E17" s="43"/>
      <c r="F17" s="45" t="s">
        <v>66</v>
      </c>
      <c r="G17" s="46"/>
      <c r="H17" s="46"/>
      <c r="I17" s="47">
        <v>45688</v>
      </c>
      <c r="J17" s="4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9" t="s">
        <v>63</v>
      </c>
      <c r="G18" s="50"/>
      <c r="H18" s="50"/>
      <c r="I18" s="51">
        <v>46142</v>
      </c>
      <c r="J18" s="52"/>
    </row>
    <row r="19" spans="1:26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>
      <c r="A20" s="53" t="s">
        <v>49</v>
      </c>
      <c r="B20" s="54"/>
      <c r="C20" s="90">
        <v>73.757999999999996</v>
      </c>
      <c r="D20" s="31" t="s">
        <v>50</v>
      </c>
      <c r="E20" s="32">
        <v>1000</v>
      </c>
      <c r="F20" s="55" t="s">
        <v>51</v>
      </c>
      <c r="G20" s="54"/>
      <c r="H20" s="56" t="str">
        <f>IF(AND(C21&lt;0.15),"&lt;0.15",C21)</f>
        <v>&lt;0.15</v>
      </c>
      <c r="I20" s="57"/>
      <c r="J20" s="33" t="s">
        <v>52</v>
      </c>
    </row>
    <row r="21" spans="1:26" ht="15.75" customHeight="1">
      <c r="A21" s="34" t="s">
        <v>53</v>
      </c>
      <c r="B21" s="35"/>
      <c r="C21" s="58">
        <f>C20/1000</f>
        <v>7.375799999999999E-2</v>
      </c>
      <c r="D21" s="59"/>
      <c r="E21" s="36"/>
      <c r="F21" s="35"/>
      <c r="G21" s="35"/>
      <c r="H21" s="35"/>
      <c r="I21" s="35"/>
      <c r="J21" s="33"/>
    </row>
    <row r="22" spans="1:26" ht="15.75" customHeight="1">
      <c r="A22" s="91" t="s">
        <v>56</v>
      </c>
      <c r="B22" s="92"/>
      <c r="C22" s="92"/>
      <c r="D22" s="92"/>
      <c r="E22" s="92"/>
      <c r="F22" s="92"/>
      <c r="G22" s="92"/>
      <c r="H22" s="92"/>
      <c r="I22" s="92"/>
      <c r="J22" s="9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3" t="s">
        <v>49</v>
      </c>
      <c r="B23" s="54"/>
      <c r="C23" s="90">
        <v>5.5830000000000002</v>
      </c>
      <c r="D23" s="31" t="s">
        <v>50</v>
      </c>
      <c r="E23" s="37">
        <v>1000</v>
      </c>
      <c r="F23" s="55" t="s">
        <v>51</v>
      </c>
      <c r="G23" s="54"/>
      <c r="H23" s="56" t="str">
        <f>IF(C24&lt;0.15,"&lt;0.15",C24)</f>
        <v>&lt;0.15</v>
      </c>
      <c r="I23" s="57"/>
      <c r="J23" s="33" t="s">
        <v>52</v>
      </c>
    </row>
    <row r="24" spans="1:26" ht="15.75" customHeight="1">
      <c r="A24" s="34" t="s">
        <v>53</v>
      </c>
      <c r="B24" s="35"/>
      <c r="C24" s="58">
        <f>C23/1000</f>
        <v>5.5830000000000003E-3</v>
      </c>
      <c r="D24" s="59"/>
      <c r="E24" s="36"/>
      <c r="F24" s="35"/>
      <c r="G24" s="35"/>
      <c r="H24" s="35"/>
      <c r="I24" s="35"/>
      <c r="J24" s="33"/>
    </row>
    <row r="25" spans="1:26" ht="15.75" customHeight="1">
      <c r="A25" s="91" t="s">
        <v>54</v>
      </c>
      <c r="B25" s="92"/>
      <c r="C25" s="92"/>
      <c r="D25" s="92"/>
      <c r="E25" s="92"/>
      <c r="F25" s="92"/>
      <c r="G25" s="92"/>
      <c r="H25" s="92"/>
      <c r="I25" s="92"/>
      <c r="J25" s="9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0" t="s">
        <v>49</v>
      </c>
      <c r="B26" s="46"/>
      <c r="C26" s="90">
        <v>6.2649999999999997</v>
      </c>
      <c r="D26" s="31" t="s">
        <v>50</v>
      </c>
      <c r="E26" s="37">
        <v>1000</v>
      </c>
      <c r="F26" s="61" t="s">
        <v>51</v>
      </c>
      <c r="G26" s="54"/>
      <c r="H26" s="56" t="str">
        <f>IF(AND(C27&lt;0.15),"&lt;0.15",C27)</f>
        <v>&lt;0.15</v>
      </c>
      <c r="I26" s="57"/>
      <c r="J26" s="38" t="s">
        <v>52</v>
      </c>
    </row>
    <row r="27" spans="1:26" ht="15.75" customHeight="1">
      <c r="A27" s="34" t="s">
        <v>53</v>
      </c>
      <c r="B27" s="35"/>
      <c r="C27" s="62">
        <f>C26/1000</f>
        <v>6.2649999999999997E-3</v>
      </c>
      <c r="D27" s="63"/>
      <c r="E27" s="36"/>
      <c r="F27" s="35"/>
      <c r="G27" s="35"/>
      <c r="H27" s="35"/>
      <c r="I27" s="35"/>
      <c r="J27" s="33"/>
    </row>
    <row r="28" spans="1:26" ht="15.75" customHeight="1">
      <c r="A28" s="91" t="s">
        <v>55</v>
      </c>
      <c r="B28" s="92"/>
      <c r="C28" s="92"/>
      <c r="D28" s="92"/>
      <c r="E28" s="92"/>
      <c r="F28" s="92"/>
      <c r="G28" s="92"/>
      <c r="H28" s="92"/>
      <c r="I28" s="92"/>
      <c r="J28" s="9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0" t="s">
        <v>49</v>
      </c>
      <c r="B29" s="46"/>
      <c r="C29" s="90">
        <v>77.786000000000001</v>
      </c>
      <c r="D29" s="31" t="s">
        <v>50</v>
      </c>
      <c r="E29" s="37">
        <v>1000</v>
      </c>
      <c r="F29" s="64" t="s">
        <v>51</v>
      </c>
      <c r="G29" s="46"/>
      <c r="H29" s="56" t="str">
        <f>IF(AND(C30&lt;0.15),"&lt;0.15",C30)</f>
        <v>&lt;0.15</v>
      </c>
      <c r="I29" s="57"/>
      <c r="J29" s="33" t="s">
        <v>52</v>
      </c>
    </row>
    <row r="30" spans="1:26" ht="15.75" customHeight="1">
      <c r="A30" s="34" t="s">
        <v>53</v>
      </c>
      <c r="B30" s="35"/>
      <c r="C30" s="58">
        <f>C29/1000</f>
        <v>7.7786000000000008E-2</v>
      </c>
      <c r="D30" s="59"/>
      <c r="E30" s="36"/>
      <c r="F30" s="35"/>
      <c r="G30" s="35"/>
      <c r="H30" s="35"/>
      <c r="I30" s="35"/>
      <c r="J30" s="33"/>
    </row>
    <row r="31" spans="1:26" ht="15.75" customHeight="1">
      <c r="A31" s="86" t="s">
        <v>57</v>
      </c>
      <c r="B31" s="66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7" t="s">
        <v>59</v>
      </c>
      <c r="C32" s="46"/>
      <c r="D32" s="46"/>
      <c r="E32" s="69"/>
      <c r="F32" s="1"/>
      <c r="G32" s="1"/>
      <c r="H32" s="1"/>
      <c r="I32" s="1"/>
      <c r="J32" s="16"/>
    </row>
    <row r="33" spans="1:26" ht="15.75" customHeight="1">
      <c r="A33" s="21"/>
      <c r="B33" s="46"/>
      <c r="C33" s="46"/>
      <c r="D33" s="46"/>
      <c r="E33" s="69"/>
      <c r="F33" s="22"/>
      <c r="G33" s="1"/>
      <c r="H33" s="1"/>
      <c r="I33" s="1"/>
      <c r="J33" s="16"/>
    </row>
    <row r="34" spans="1:26" ht="15.75" customHeight="1">
      <c r="A34" s="23"/>
      <c r="B34" s="87" t="s">
        <v>60</v>
      </c>
      <c r="C34" s="46"/>
      <c r="D34" s="46"/>
      <c r="E34" s="69"/>
      <c r="F34" s="1"/>
      <c r="G34" s="1"/>
      <c r="H34" s="1"/>
      <c r="I34" s="1"/>
      <c r="J34" s="16"/>
    </row>
    <row r="35" spans="1:26" ht="15.75" customHeight="1">
      <c r="A35" s="23"/>
      <c r="B35" s="46"/>
      <c r="C35" s="46"/>
      <c r="D35" s="46"/>
      <c r="E35" s="6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3.5" customHeight="1">
      <c r="A38" s="88" t="s">
        <v>61</v>
      </c>
      <c r="B38" s="66"/>
      <c r="C38" s="66"/>
      <c r="D38" s="66"/>
      <c r="E38" s="67"/>
      <c r="F38" s="24"/>
      <c r="G38" s="25"/>
      <c r="H38" s="25"/>
      <c r="I38" s="25"/>
      <c r="J38" s="17"/>
    </row>
    <row r="39" spans="1:26" ht="12.75" customHeight="1">
      <c r="A39" s="84"/>
      <c r="B39" s="85"/>
      <c r="C39" s="85"/>
      <c r="D39" s="85"/>
      <c r="E39" s="89"/>
      <c r="F39" s="39" t="s">
        <v>67</v>
      </c>
      <c r="G39" s="27"/>
      <c r="H39" s="27"/>
      <c r="I39" s="27"/>
      <c r="J39" s="28"/>
    </row>
    <row r="40" spans="1:26" ht="15.75" customHeight="1">
      <c r="A40" s="83" t="s">
        <v>62</v>
      </c>
      <c r="B40" s="66"/>
      <c r="C40" s="66"/>
      <c r="D40" s="66"/>
      <c r="E40" s="66"/>
      <c r="F40" s="29"/>
      <c r="G40" s="25"/>
      <c r="H40" s="25"/>
      <c r="I40" s="25"/>
      <c r="J40" s="16"/>
    </row>
    <row r="41" spans="1:26" ht="11.25" customHeight="1">
      <c r="A41" s="84"/>
      <c r="B41" s="85"/>
      <c r="C41" s="85"/>
      <c r="D41" s="85"/>
      <c r="E41" s="85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B34:E35"/>
    <mergeCell ref="A38:E39"/>
    <mergeCell ref="A40:E41"/>
    <mergeCell ref="A29:B29"/>
    <mergeCell ref="F29:G29"/>
    <mergeCell ref="H29:I29"/>
    <mergeCell ref="C30:D30"/>
    <mergeCell ref="A31:B31"/>
    <mergeCell ref="B32:E33"/>
    <mergeCell ref="A25:J25"/>
    <mergeCell ref="A26:B26"/>
    <mergeCell ref="F26:G26"/>
    <mergeCell ref="H26:I26"/>
    <mergeCell ref="C27:D27"/>
    <mergeCell ref="A28:J28"/>
    <mergeCell ref="C21:D21"/>
    <mergeCell ref="A22:J22"/>
    <mergeCell ref="A23:B23"/>
    <mergeCell ref="F23:G23"/>
    <mergeCell ref="H23:I23"/>
    <mergeCell ref="C24:D24"/>
    <mergeCell ref="F18:H18"/>
    <mergeCell ref="I18:J18"/>
    <mergeCell ref="A19:J19"/>
    <mergeCell ref="A20:B20"/>
    <mergeCell ref="F20:G20"/>
    <mergeCell ref="H20:I20"/>
    <mergeCell ref="A16:B16"/>
    <mergeCell ref="C16:E16"/>
    <mergeCell ref="F16:H16"/>
    <mergeCell ref="I16:J16"/>
    <mergeCell ref="F17:H17"/>
    <mergeCell ref="I17:J17"/>
    <mergeCell ref="F14:H14"/>
    <mergeCell ref="I14:J14"/>
    <mergeCell ref="A15:B15"/>
    <mergeCell ref="C15:D15"/>
    <mergeCell ref="F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5:J5"/>
    <mergeCell ref="A6:J6"/>
    <mergeCell ref="A7:B7"/>
    <mergeCell ref="C7:E7"/>
    <mergeCell ref="G7:J7"/>
    <mergeCell ref="A8:B8"/>
    <mergeCell ref="C8:D8"/>
    <mergeCell ref="I8:J8"/>
    <mergeCell ref="A1:J1"/>
    <mergeCell ref="A2:J2"/>
    <mergeCell ref="A3:C3"/>
    <mergeCell ref="D3:J3"/>
    <mergeCell ref="A4:C4"/>
    <mergeCell ref="D4:J4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Z579"/>
  <sheetViews>
    <sheetView view="pageLayout" topLeftCell="A16" zoomScale="112" zoomScaleNormal="100" zoomScalePageLayoutView="112" workbookViewId="0">
      <selection activeCell="C30" sqref="C30:D30"/>
    </sheetView>
  </sheetViews>
  <sheetFormatPr defaultColWidth="14.42578125" defaultRowHeight="15" customHeight="1"/>
  <cols>
    <col min="1" max="1" width="12.85546875" style="41" customWidth="1"/>
    <col min="2" max="2" width="8" style="41" customWidth="1"/>
    <col min="3" max="3" width="11.28515625" style="41" customWidth="1"/>
    <col min="4" max="4" width="6" style="41" customWidth="1"/>
    <col min="5" max="5" width="6.85546875" style="41" customWidth="1"/>
    <col min="6" max="6" width="12.140625" style="41" customWidth="1"/>
    <col min="7" max="7" width="10" style="41" customWidth="1"/>
    <col min="8" max="8" width="8.5703125" style="41" customWidth="1"/>
    <col min="9" max="9" width="4.5703125" style="41" customWidth="1"/>
    <col min="10" max="10" width="6.7109375" style="41" customWidth="1"/>
    <col min="11" max="11" width="8" style="41" customWidth="1"/>
    <col min="12" max="16384" width="14.42578125" style="41"/>
  </cols>
  <sheetData>
    <row r="1" spans="1:26">
      <c r="A1" s="70" t="s">
        <v>0</v>
      </c>
      <c r="B1" s="71"/>
      <c r="C1" s="71"/>
      <c r="D1" s="71"/>
      <c r="E1" s="71"/>
      <c r="F1" s="71"/>
      <c r="G1" s="71"/>
      <c r="H1" s="71"/>
      <c r="I1" s="71"/>
      <c r="J1" s="72"/>
    </row>
    <row r="2" spans="1:26">
      <c r="A2" s="70" t="s">
        <v>1</v>
      </c>
      <c r="B2" s="71"/>
      <c r="C2" s="71"/>
      <c r="D2" s="71"/>
      <c r="E2" s="71"/>
      <c r="F2" s="71"/>
      <c r="G2" s="71"/>
      <c r="H2" s="71"/>
      <c r="I2" s="71"/>
      <c r="J2" s="72"/>
    </row>
    <row r="3" spans="1:26">
      <c r="A3" s="73" t="s">
        <v>2</v>
      </c>
      <c r="B3" s="71"/>
      <c r="C3" s="72"/>
      <c r="D3" s="94">
        <v>2024070266</v>
      </c>
      <c r="E3" s="95"/>
      <c r="F3" s="95"/>
      <c r="G3" s="95"/>
      <c r="H3" s="95"/>
      <c r="I3" s="95"/>
      <c r="J3" s="96"/>
    </row>
    <row r="4" spans="1:26">
      <c r="A4" s="73" t="s">
        <v>3</v>
      </c>
      <c r="B4" s="71"/>
      <c r="C4" s="72"/>
      <c r="D4" s="94">
        <v>80824</v>
      </c>
      <c r="E4" s="95"/>
      <c r="F4" s="95"/>
      <c r="G4" s="95"/>
      <c r="H4" s="95"/>
      <c r="I4" s="95"/>
      <c r="J4" s="96"/>
    </row>
    <row r="5" spans="1:26" ht="15" customHeight="1">
      <c r="A5" s="74" t="s">
        <v>4</v>
      </c>
      <c r="B5" s="71"/>
      <c r="C5" s="71"/>
      <c r="D5" s="71"/>
      <c r="E5" s="71"/>
      <c r="F5" s="71"/>
      <c r="G5" s="71"/>
      <c r="H5" s="71"/>
      <c r="I5" s="71"/>
      <c r="J5" s="7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4" t="s">
        <v>5</v>
      </c>
      <c r="B6" s="71"/>
      <c r="C6" s="71"/>
      <c r="D6" s="71"/>
      <c r="E6" s="71"/>
      <c r="F6" s="71"/>
      <c r="G6" s="71"/>
      <c r="H6" s="71"/>
      <c r="I6" s="71"/>
      <c r="J6" s="72"/>
    </row>
    <row r="7" spans="1:26" ht="30" customHeight="1">
      <c r="A7" s="75" t="s">
        <v>6</v>
      </c>
      <c r="B7" s="66"/>
      <c r="C7" s="76" t="s">
        <v>7</v>
      </c>
      <c r="D7" s="66"/>
      <c r="E7" s="66"/>
      <c r="F7" s="44" t="s">
        <v>8</v>
      </c>
      <c r="G7" s="65" t="s">
        <v>9</v>
      </c>
      <c r="H7" s="66"/>
      <c r="I7" s="66"/>
      <c r="J7" s="67"/>
    </row>
    <row r="8" spans="1:26" ht="15" customHeight="1">
      <c r="A8" s="77" t="s">
        <v>10</v>
      </c>
      <c r="B8" s="46"/>
      <c r="C8" s="78" t="s">
        <v>11</v>
      </c>
      <c r="D8" s="46"/>
      <c r="E8" s="4"/>
      <c r="F8" s="40" t="s">
        <v>12</v>
      </c>
      <c r="G8" s="6" t="s">
        <v>13</v>
      </c>
      <c r="H8" s="6" t="s">
        <v>14</v>
      </c>
      <c r="I8" s="68"/>
      <c r="J8" s="69"/>
    </row>
    <row r="9" spans="1:26" ht="30" customHeight="1">
      <c r="A9" s="77" t="s">
        <v>15</v>
      </c>
      <c r="B9" s="46"/>
      <c r="C9" s="78" t="s">
        <v>16</v>
      </c>
      <c r="D9" s="46"/>
      <c r="E9" s="7"/>
      <c r="F9" s="44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7" t="s">
        <v>20</v>
      </c>
      <c r="B10" s="46"/>
      <c r="C10" s="78" t="s">
        <v>21</v>
      </c>
      <c r="D10" s="46"/>
      <c r="E10" s="7"/>
      <c r="F10" s="44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7" t="s">
        <v>25</v>
      </c>
      <c r="B11" s="46"/>
      <c r="C11" s="78" t="s">
        <v>26</v>
      </c>
      <c r="D11" s="46"/>
      <c r="E11" s="7"/>
      <c r="F11" s="44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7" t="s">
        <v>30</v>
      </c>
      <c r="B12" s="46"/>
      <c r="C12" s="78" t="s">
        <v>31</v>
      </c>
      <c r="D12" s="46"/>
      <c r="E12" s="7"/>
      <c r="F12" s="44" t="s">
        <v>32</v>
      </c>
      <c r="G12" s="8" t="s">
        <v>33</v>
      </c>
      <c r="H12" s="8" t="s">
        <v>34</v>
      </c>
      <c r="I12" s="9"/>
      <c r="J12" s="10"/>
    </row>
    <row r="13" spans="1:26" ht="30">
      <c r="A13" s="77" t="s">
        <v>35</v>
      </c>
      <c r="B13" s="46"/>
      <c r="C13" s="78" t="s">
        <v>36</v>
      </c>
      <c r="D13" s="46"/>
      <c r="E13" s="7"/>
      <c r="F13" s="44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7" t="s">
        <v>40</v>
      </c>
      <c r="B14" s="46"/>
      <c r="C14" s="78" t="s">
        <v>41</v>
      </c>
      <c r="D14" s="46"/>
      <c r="E14" s="7"/>
      <c r="F14" s="79" t="s">
        <v>42</v>
      </c>
      <c r="G14" s="46"/>
      <c r="H14" s="46"/>
      <c r="I14" s="80" t="s">
        <v>43</v>
      </c>
      <c r="J14" s="69"/>
    </row>
    <row r="15" spans="1:26" ht="15" customHeight="1">
      <c r="A15" s="77" t="s">
        <v>44</v>
      </c>
      <c r="B15" s="46"/>
      <c r="C15" s="78" t="s">
        <v>45</v>
      </c>
      <c r="D15" s="46"/>
      <c r="E15" s="7"/>
      <c r="F15" s="81" t="s">
        <v>64</v>
      </c>
      <c r="G15" s="46"/>
      <c r="H15" s="46"/>
      <c r="I15" s="47">
        <v>45808</v>
      </c>
      <c r="J15" s="48"/>
    </row>
    <row r="16" spans="1:26" ht="15" customHeight="1">
      <c r="A16" s="77" t="s">
        <v>46</v>
      </c>
      <c r="B16" s="46"/>
      <c r="C16" s="82" t="s">
        <v>47</v>
      </c>
      <c r="D16" s="46"/>
      <c r="E16" s="46"/>
      <c r="F16" s="45" t="s">
        <v>65</v>
      </c>
      <c r="G16" s="46"/>
      <c r="H16" s="46"/>
      <c r="I16" s="47">
        <v>45716</v>
      </c>
      <c r="J16" s="48"/>
    </row>
    <row r="17" spans="1:26">
      <c r="A17" s="42"/>
      <c r="B17" s="44"/>
      <c r="C17" s="43"/>
      <c r="D17" s="43"/>
      <c r="E17" s="43"/>
      <c r="F17" s="45" t="s">
        <v>66</v>
      </c>
      <c r="G17" s="46"/>
      <c r="H17" s="46"/>
      <c r="I17" s="47">
        <v>45688</v>
      </c>
      <c r="J17" s="4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9" t="s">
        <v>63</v>
      </c>
      <c r="G18" s="50"/>
      <c r="H18" s="50"/>
      <c r="I18" s="51">
        <v>46142</v>
      </c>
      <c r="J18" s="52"/>
    </row>
    <row r="19" spans="1:26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>
      <c r="A20" s="53" t="s">
        <v>49</v>
      </c>
      <c r="B20" s="54"/>
      <c r="C20" s="90">
        <v>73.162999999999997</v>
      </c>
      <c r="D20" s="31" t="s">
        <v>50</v>
      </c>
      <c r="E20" s="32">
        <v>1000</v>
      </c>
      <c r="F20" s="55" t="s">
        <v>51</v>
      </c>
      <c r="G20" s="54"/>
      <c r="H20" s="56" t="str">
        <f>IF(AND(C21&lt;0.15),"&lt;0.15",C21)</f>
        <v>&lt;0.15</v>
      </c>
      <c r="I20" s="57"/>
      <c r="J20" s="33" t="s">
        <v>52</v>
      </c>
    </row>
    <row r="21" spans="1:26" ht="15.75" customHeight="1">
      <c r="A21" s="34" t="s">
        <v>53</v>
      </c>
      <c r="B21" s="35"/>
      <c r="C21" s="58">
        <f>C20/1000</f>
        <v>7.3162999999999992E-2</v>
      </c>
      <c r="D21" s="59"/>
      <c r="E21" s="36"/>
      <c r="F21" s="35"/>
      <c r="G21" s="35"/>
      <c r="H21" s="35"/>
      <c r="I21" s="35"/>
      <c r="J21" s="33"/>
    </row>
    <row r="22" spans="1:26" ht="15.75" customHeight="1">
      <c r="A22" s="91" t="s">
        <v>56</v>
      </c>
      <c r="B22" s="92"/>
      <c r="C22" s="92"/>
      <c r="D22" s="92"/>
      <c r="E22" s="92"/>
      <c r="F22" s="92"/>
      <c r="G22" s="92"/>
      <c r="H22" s="92"/>
      <c r="I22" s="92"/>
      <c r="J22" s="9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3" t="s">
        <v>49</v>
      </c>
      <c r="B23" s="54"/>
      <c r="C23" s="90">
        <v>10.058</v>
      </c>
      <c r="D23" s="31" t="s">
        <v>50</v>
      </c>
      <c r="E23" s="37">
        <v>1000</v>
      </c>
      <c r="F23" s="55" t="s">
        <v>51</v>
      </c>
      <c r="G23" s="54"/>
      <c r="H23" s="56" t="str">
        <f>IF(C24&lt;0.15,"&lt;0.15",C24)</f>
        <v>&lt;0.15</v>
      </c>
      <c r="I23" s="57"/>
      <c r="J23" s="33" t="s">
        <v>52</v>
      </c>
    </row>
    <row r="24" spans="1:26" ht="15.75" customHeight="1">
      <c r="A24" s="34" t="s">
        <v>53</v>
      </c>
      <c r="B24" s="35"/>
      <c r="C24" s="58">
        <f>C23/1000</f>
        <v>1.0057999999999999E-2</v>
      </c>
      <c r="D24" s="59"/>
      <c r="E24" s="36"/>
      <c r="F24" s="35"/>
      <c r="G24" s="35"/>
      <c r="H24" s="35"/>
      <c r="I24" s="35"/>
      <c r="J24" s="33"/>
    </row>
    <row r="25" spans="1:26" ht="15.75" customHeight="1">
      <c r="A25" s="91" t="s">
        <v>54</v>
      </c>
      <c r="B25" s="92"/>
      <c r="C25" s="92"/>
      <c r="D25" s="92"/>
      <c r="E25" s="92"/>
      <c r="F25" s="92"/>
      <c r="G25" s="92"/>
      <c r="H25" s="92"/>
      <c r="I25" s="92"/>
      <c r="J25" s="9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0" t="s">
        <v>49</v>
      </c>
      <c r="B26" s="46"/>
      <c r="C26" s="90">
        <v>0.84399999999999997</v>
      </c>
      <c r="D26" s="31" t="s">
        <v>50</v>
      </c>
      <c r="E26" s="37">
        <v>1000</v>
      </c>
      <c r="F26" s="61" t="s">
        <v>51</v>
      </c>
      <c r="G26" s="54"/>
      <c r="H26" s="56" t="str">
        <f>IF(AND(C27&lt;0.15),"&lt;0.15",C27)</f>
        <v>&lt;0.15</v>
      </c>
      <c r="I26" s="57"/>
      <c r="J26" s="38" t="s">
        <v>52</v>
      </c>
    </row>
    <row r="27" spans="1:26" ht="15.75" customHeight="1">
      <c r="A27" s="34" t="s">
        <v>53</v>
      </c>
      <c r="B27" s="35"/>
      <c r="C27" s="62">
        <f>C26/1000</f>
        <v>8.4400000000000002E-4</v>
      </c>
      <c r="D27" s="63"/>
      <c r="E27" s="36"/>
      <c r="F27" s="35"/>
      <c r="G27" s="35"/>
      <c r="H27" s="35"/>
      <c r="I27" s="35"/>
      <c r="J27" s="33"/>
    </row>
    <row r="28" spans="1:26" ht="15.75" customHeight="1">
      <c r="A28" s="91" t="s">
        <v>55</v>
      </c>
      <c r="B28" s="92"/>
      <c r="C28" s="92"/>
      <c r="D28" s="92"/>
      <c r="E28" s="92"/>
      <c r="F28" s="92"/>
      <c r="G28" s="92"/>
      <c r="H28" s="92"/>
      <c r="I28" s="92"/>
      <c r="J28" s="9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0" t="s">
        <v>49</v>
      </c>
      <c r="B29" s="46"/>
      <c r="C29" s="90">
        <v>82.816999999999993</v>
      </c>
      <c r="D29" s="31" t="s">
        <v>50</v>
      </c>
      <c r="E29" s="37">
        <v>1000</v>
      </c>
      <c r="F29" s="64" t="s">
        <v>51</v>
      </c>
      <c r="G29" s="46"/>
      <c r="H29" s="56" t="str">
        <f>IF(AND(C30&lt;0.15),"&lt;0.15",C30)</f>
        <v>&lt;0.15</v>
      </c>
      <c r="I29" s="57"/>
      <c r="J29" s="33" t="s">
        <v>52</v>
      </c>
    </row>
    <row r="30" spans="1:26" ht="15.75" customHeight="1">
      <c r="A30" s="34" t="s">
        <v>53</v>
      </c>
      <c r="B30" s="35"/>
      <c r="C30" s="58">
        <f>C29/1000</f>
        <v>8.2816999999999988E-2</v>
      </c>
      <c r="D30" s="59"/>
      <c r="E30" s="36"/>
      <c r="F30" s="35"/>
      <c r="G30" s="35"/>
      <c r="H30" s="35"/>
      <c r="I30" s="35"/>
      <c r="J30" s="33"/>
    </row>
    <row r="31" spans="1:26" ht="15.75" customHeight="1">
      <c r="A31" s="86" t="s">
        <v>57</v>
      </c>
      <c r="B31" s="66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7" t="s">
        <v>59</v>
      </c>
      <c r="C32" s="46"/>
      <c r="D32" s="46"/>
      <c r="E32" s="69"/>
      <c r="F32" s="1"/>
      <c r="G32" s="1"/>
      <c r="H32" s="1"/>
      <c r="I32" s="1"/>
      <c r="J32" s="16"/>
    </row>
    <row r="33" spans="1:26" ht="15.75" customHeight="1">
      <c r="A33" s="21"/>
      <c r="B33" s="46"/>
      <c r="C33" s="46"/>
      <c r="D33" s="46"/>
      <c r="E33" s="69"/>
      <c r="F33" s="22"/>
      <c r="G33" s="1"/>
      <c r="H33" s="1"/>
      <c r="I33" s="1"/>
      <c r="J33" s="16"/>
    </row>
    <row r="34" spans="1:26" ht="15.75" customHeight="1">
      <c r="A34" s="23"/>
      <c r="B34" s="87" t="s">
        <v>60</v>
      </c>
      <c r="C34" s="46"/>
      <c r="D34" s="46"/>
      <c r="E34" s="69"/>
      <c r="F34" s="1"/>
      <c r="G34" s="1"/>
      <c r="H34" s="1"/>
      <c r="I34" s="1"/>
      <c r="J34" s="16"/>
    </row>
    <row r="35" spans="1:26" ht="15.75" customHeight="1">
      <c r="A35" s="23"/>
      <c r="B35" s="46"/>
      <c r="C35" s="46"/>
      <c r="D35" s="46"/>
      <c r="E35" s="6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3.5" customHeight="1">
      <c r="A38" s="88" t="s">
        <v>61</v>
      </c>
      <c r="B38" s="66"/>
      <c r="C38" s="66"/>
      <c r="D38" s="66"/>
      <c r="E38" s="67"/>
      <c r="F38" s="24"/>
      <c r="G38" s="25"/>
      <c r="H38" s="25"/>
      <c r="I38" s="25"/>
      <c r="J38" s="17"/>
    </row>
    <row r="39" spans="1:26" ht="12.75" customHeight="1">
      <c r="A39" s="84"/>
      <c r="B39" s="85"/>
      <c r="C39" s="85"/>
      <c r="D39" s="85"/>
      <c r="E39" s="89"/>
      <c r="F39" s="39" t="s">
        <v>67</v>
      </c>
      <c r="G39" s="27"/>
      <c r="H39" s="27"/>
      <c r="I39" s="27"/>
      <c r="J39" s="28"/>
    </row>
    <row r="40" spans="1:26" ht="15.75" customHeight="1">
      <c r="A40" s="83" t="s">
        <v>62</v>
      </c>
      <c r="B40" s="66"/>
      <c r="C40" s="66"/>
      <c r="D40" s="66"/>
      <c r="E40" s="66"/>
      <c r="F40" s="29"/>
      <c r="G40" s="25"/>
      <c r="H40" s="25"/>
      <c r="I40" s="25"/>
      <c r="J40" s="16"/>
    </row>
    <row r="41" spans="1:26" ht="11.25" customHeight="1">
      <c r="A41" s="84"/>
      <c r="B41" s="85"/>
      <c r="C41" s="85"/>
      <c r="D41" s="85"/>
      <c r="E41" s="85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B34:E35"/>
    <mergeCell ref="A38:E39"/>
    <mergeCell ref="A40:E41"/>
    <mergeCell ref="A29:B29"/>
    <mergeCell ref="F29:G29"/>
    <mergeCell ref="H29:I29"/>
    <mergeCell ref="C30:D30"/>
    <mergeCell ref="A31:B31"/>
    <mergeCell ref="B32:E33"/>
    <mergeCell ref="A25:J25"/>
    <mergeCell ref="A26:B26"/>
    <mergeCell ref="F26:G26"/>
    <mergeCell ref="H26:I26"/>
    <mergeCell ref="C27:D27"/>
    <mergeCell ref="A28:J28"/>
    <mergeCell ref="C21:D21"/>
    <mergeCell ref="A22:J22"/>
    <mergeCell ref="A23:B23"/>
    <mergeCell ref="F23:G23"/>
    <mergeCell ref="H23:I23"/>
    <mergeCell ref="C24:D24"/>
    <mergeCell ref="F18:H18"/>
    <mergeCell ref="I18:J18"/>
    <mergeCell ref="A19:J19"/>
    <mergeCell ref="A20:B20"/>
    <mergeCell ref="F20:G20"/>
    <mergeCell ref="H20:I20"/>
    <mergeCell ref="A16:B16"/>
    <mergeCell ref="C16:E16"/>
    <mergeCell ref="F16:H16"/>
    <mergeCell ref="I16:J16"/>
    <mergeCell ref="F17:H17"/>
    <mergeCell ref="I17:J17"/>
    <mergeCell ref="F14:H14"/>
    <mergeCell ref="I14:J14"/>
    <mergeCell ref="A15:B15"/>
    <mergeCell ref="C15:D15"/>
    <mergeCell ref="F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5:J5"/>
    <mergeCell ref="A6:J6"/>
    <mergeCell ref="A7:B7"/>
    <mergeCell ref="C7:E7"/>
    <mergeCell ref="G7:J7"/>
    <mergeCell ref="A8:B8"/>
    <mergeCell ref="C8:D8"/>
    <mergeCell ref="I8:J8"/>
    <mergeCell ref="A1:J1"/>
    <mergeCell ref="A2:J2"/>
    <mergeCell ref="A3:C3"/>
    <mergeCell ref="D3:J3"/>
    <mergeCell ref="A4:C4"/>
    <mergeCell ref="D4:J4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Z579"/>
  <sheetViews>
    <sheetView view="pageLayout" zoomScale="112" zoomScaleNormal="100" zoomScalePageLayoutView="112" workbookViewId="0">
      <selection activeCell="C29" sqref="C29"/>
    </sheetView>
  </sheetViews>
  <sheetFormatPr defaultColWidth="14.42578125" defaultRowHeight="15" customHeight="1"/>
  <cols>
    <col min="1" max="1" width="12.85546875" style="41" customWidth="1"/>
    <col min="2" max="2" width="8" style="41" customWidth="1"/>
    <col min="3" max="3" width="11.28515625" style="41" customWidth="1"/>
    <col min="4" max="4" width="6" style="41" customWidth="1"/>
    <col min="5" max="5" width="6.85546875" style="41" customWidth="1"/>
    <col min="6" max="6" width="12.140625" style="41" customWidth="1"/>
    <col min="7" max="7" width="10" style="41" customWidth="1"/>
    <col min="8" max="8" width="8.5703125" style="41" customWidth="1"/>
    <col min="9" max="9" width="4.5703125" style="41" customWidth="1"/>
    <col min="10" max="10" width="6.7109375" style="41" customWidth="1"/>
    <col min="11" max="11" width="8" style="41" customWidth="1"/>
    <col min="12" max="16384" width="14.42578125" style="41"/>
  </cols>
  <sheetData>
    <row r="1" spans="1:26">
      <c r="A1" s="70" t="s">
        <v>0</v>
      </c>
      <c r="B1" s="71"/>
      <c r="C1" s="71"/>
      <c r="D1" s="71"/>
      <c r="E1" s="71"/>
      <c r="F1" s="71"/>
      <c r="G1" s="71"/>
      <c r="H1" s="71"/>
      <c r="I1" s="71"/>
      <c r="J1" s="72"/>
    </row>
    <row r="2" spans="1:26">
      <c r="A2" s="70" t="s">
        <v>1</v>
      </c>
      <c r="B2" s="71"/>
      <c r="C2" s="71"/>
      <c r="D2" s="71"/>
      <c r="E2" s="71"/>
      <c r="F2" s="71"/>
      <c r="G2" s="71"/>
      <c r="H2" s="71"/>
      <c r="I2" s="71"/>
      <c r="J2" s="72"/>
    </row>
    <row r="3" spans="1:26">
      <c r="A3" s="73" t="s">
        <v>2</v>
      </c>
      <c r="B3" s="71"/>
      <c r="C3" s="72"/>
      <c r="D3" s="94">
        <v>2024070256</v>
      </c>
      <c r="E3" s="95"/>
      <c r="F3" s="95"/>
      <c r="G3" s="95"/>
      <c r="H3" s="95"/>
      <c r="I3" s="95"/>
      <c r="J3" s="96"/>
    </row>
    <row r="4" spans="1:26">
      <c r="A4" s="73" t="s">
        <v>3</v>
      </c>
      <c r="B4" s="71"/>
      <c r="C4" s="72"/>
      <c r="D4" s="94">
        <v>80824</v>
      </c>
      <c r="E4" s="95"/>
      <c r="F4" s="95"/>
      <c r="G4" s="95"/>
      <c r="H4" s="95"/>
      <c r="I4" s="95"/>
      <c r="J4" s="96"/>
    </row>
    <row r="5" spans="1:26" ht="15" customHeight="1">
      <c r="A5" s="74" t="s">
        <v>4</v>
      </c>
      <c r="B5" s="71"/>
      <c r="C5" s="71"/>
      <c r="D5" s="71"/>
      <c r="E5" s="71"/>
      <c r="F5" s="71"/>
      <c r="G5" s="71"/>
      <c r="H5" s="71"/>
      <c r="I5" s="71"/>
      <c r="J5" s="7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4" t="s">
        <v>5</v>
      </c>
      <c r="B6" s="71"/>
      <c r="C6" s="71"/>
      <c r="D6" s="71"/>
      <c r="E6" s="71"/>
      <c r="F6" s="71"/>
      <c r="G6" s="71"/>
      <c r="H6" s="71"/>
      <c r="I6" s="71"/>
      <c r="J6" s="72"/>
    </row>
    <row r="7" spans="1:26" ht="30" customHeight="1">
      <c r="A7" s="75" t="s">
        <v>6</v>
      </c>
      <c r="B7" s="66"/>
      <c r="C7" s="76" t="s">
        <v>7</v>
      </c>
      <c r="D7" s="66"/>
      <c r="E7" s="66"/>
      <c r="F7" s="44" t="s">
        <v>8</v>
      </c>
      <c r="G7" s="65" t="s">
        <v>9</v>
      </c>
      <c r="H7" s="66"/>
      <c r="I7" s="66"/>
      <c r="J7" s="67"/>
    </row>
    <row r="8" spans="1:26" ht="15" customHeight="1">
      <c r="A8" s="77" t="s">
        <v>10</v>
      </c>
      <c r="B8" s="46"/>
      <c r="C8" s="78" t="s">
        <v>11</v>
      </c>
      <c r="D8" s="46"/>
      <c r="E8" s="4"/>
      <c r="F8" s="40" t="s">
        <v>12</v>
      </c>
      <c r="G8" s="6" t="s">
        <v>13</v>
      </c>
      <c r="H8" s="6" t="s">
        <v>14</v>
      </c>
      <c r="I8" s="68"/>
      <c r="J8" s="69"/>
    </row>
    <row r="9" spans="1:26" ht="30" customHeight="1">
      <c r="A9" s="77" t="s">
        <v>15</v>
      </c>
      <c r="B9" s="46"/>
      <c r="C9" s="78" t="s">
        <v>16</v>
      </c>
      <c r="D9" s="46"/>
      <c r="E9" s="7"/>
      <c r="F9" s="44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7" t="s">
        <v>20</v>
      </c>
      <c r="B10" s="46"/>
      <c r="C10" s="78" t="s">
        <v>21</v>
      </c>
      <c r="D10" s="46"/>
      <c r="E10" s="7"/>
      <c r="F10" s="44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7" t="s">
        <v>25</v>
      </c>
      <c r="B11" s="46"/>
      <c r="C11" s="78" t="s">
        <v>26</v>
      </c>
      <c r="D11" s="46"/>
      <c r="E11" s="7"/>
      <c r="F11" s="44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7" t="s">
        <v>30</v>
      </c>
      <c r="B12" s="46"/>
      <c r="C12" s="78" t="s">
        <v>31</v>
      </c>
      <c r="D12" s="46"/>
      <c r="E12" s="7"/>
      <c r="F12" s="44" t="s">
        <v>32</v>
      </c>
      <c r="G12" s="8" t="s">
        <v>33</v>
      </c>
      <c r="H12" s="8" t="s">
        <v>34</v>
      </c>
      <c r="I12" s="9"/>
      <c r="J12" s="10"/>
    </row>
    <row r="13" spans="1:26" ht="30">
      <c r="A13" s="77" t="s">
        <v>35</v>
      </c>
      <c r="B13" s="46"/>
      <c r="C13" s="78" t="s">
        <v>36</v>
      </c>
      <c r="D13" s="46"/>
      <c r="E13" s="7"/>
      <c r="F13" s="44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7" t="s">
        <v>40</v>
      </c>
      <c r="B14" s="46"/>
      <c r="C14" s="78" t="s">
        <v>41</v>
      </c>
      <c r="D14" s="46"/>
      <c r="E14" s="7"/>
      <c r="F14" s="79" t="s">
        <v>42</v>
      </c>
      <c r="G14" s="46"/>
      <c r="H14" s="46"/>
      <c r="I14" s="80" t="s">
        <v>43</v>
      </c>
      <c r="J14" s="69"/>
    </row>
    <row r="15" spans="1:26" ht="15" customHeight="1">
      <c r="A15" s="77" t="s">
        <v>44</v>
      </c>
      <c r="B15" s="46"/>
      <c r="C15" s="78" t="s">
        <v>45</v>
      </c>
      <c r="D15" s="46"/>
      <c r="E15" s="7"/>
      <c r="F15" s="81" t="s">
        <v>64</v>
      </c>
      <c r="G15" s="46"/>
      <c r="H15" s="46"/>
      <c r="I15" s="47">
        <v>45808</v>
      </c>
      <c r="J15" s="48"/>
    </row>
    <row r="16" spans="1:26" ht="15" customHeight="1">
      <c r="A16" s="77" t="s">
        <v>46</v>
      </c>
      <c r="B16" s="46"/>
      <c r="C16" s="82" t="s">
        <v>47</v>
      </c>
      <c r="D16" s="46"/>
      <c r="E16" s="46"/>
      <c r="F16" s="45" t="s">
        <v>65</v>
      </c>
      <c r="G16" s="46"/>
      <c r="H16" s="46"/>
      <c r="I16" s="47">
        <v>45716</v>
      </c>
      <c r="J16" s="48"/>
    </row>
    <row r="17" spans="1:26">
      <c r="A17" s="42"/>
      <c r="B17" s="44"/>
      <c r="C17" s="43"/>
      <c r="D17" s="43"/>
      <c r="E17" s="43"/>
      <c r="F17" s="45" t="s">
        <v>66</v>
      </c>
      <c r="G17" s="46"/>
      <c r="H17" s="46"/>
      <c r="I17" s="47">
        <v>45688</v>
      </c>
      <c r="J17" s="4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9" t="s">
        <v>63</v>
      </c>
      <c r="G18" s="50"/>
      <c r="H18" s="50"/>
      <c r="I18" s="51">
        <v>46142</v>
      </c>
      <c r="J18" s="52"/>
    </row>
    <row r="19" spans="1:26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>
      <c r="A20" s="53" t="s">
        <v>49</v>
      </c>
      <c r="B20" s="54"/>
      <c r="C20" s="90">
        <v>97.233999999999995</v>
      </c>
      <c r="D20" s="31" t="s">
        <v>50</v>
      </c>
      <c r="E20" s="32">
        <v>1000</v>
      </c>
      <c r="F20" s="55" t="s">
        <v>51</v>
      </c>
      <c r="G20" s="54"/>
      <c r="H20" s="56" t="str">
        <f>IF(AND(C21&lt;0.15),"&lt;0.15",C21)</f>
        <v>&lt;0.15</v>
      </c>
      <c r="I20" s="57"/>
      <c r="J20" s="33" t="s">
        <v>52</v>
      </c>
    </row>
    <row r="21" spans="1:26" ht="15.75" customHeight="1">
      <c r="A21" s="34" t="s">
        <v>53</v>
      </c>
      <c r="B21" s="35"/>
      <c r="C21" s="58">
        <f>C20/1000</f>
        <v>9.7234000000000001E-2</v>
      </c>
      <c r="D21" s="59"/>
      <c r="E21" s="36"/>
      <c r="F21" s="35"/>
      <c r="G21" s="35"/>
      <c r="H21" s="35"/>
      <c r="I21" s="35"/>
      <c r="J21" s="33"/>
    </row>
    <row r="22" spans="1:26" ht="15.75" customHeight="1">
      <c r="A22" s="91" t="s">
        <v>56</v>
      </c>
      <c r="B22" s="92"/>
      <c r="C22" s="92"/>
      <c r="D22" s="92"/>
      <c r="E22" s="92"/>
      <c r="F22" s="92"/>
      <c r="G22" s="92"/>
      <c r="H22" s="92"/>
      <c r="I22" s="92"/>
      <c r="J22" s="9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3" t="s">
        <v>49</v>
      </c>
      <c r="B23" s="54"/>
      <c r="C23" s="90">
        <v>11.711</v>
      </c>
      <c r="D23" s="31" t="s">
        <v>50</v>
      </c>
      <c r="E23" s="37">
        <v>1000</v>
      </c>
      <c r="F23" s="55" t="s">
        <v>51</v>
      </c>
      <c r="G23" s="54"/>
      <c r="H23" s="56" t="str">
        <f>IF(C24&lt;0.15,"&lt;0.15",C24)</f>
        <v>&lt;0.15</v>
      </c>
      <c r="I23" s="57"/>
      <c r="J23" s="33" t="s">
        <v>52</v>
      </c>
    </row>
    <row r="24" spans="1:26" ht="15.75" customHeight="1">
      <c r="A24" s="34" t="s">
        <v>53</v>
      </c>
      <c r="B24" s="35"/>
      <c r="C24" s="58">
        <f>C23/1000</f>
        <v>1.1711000000000001E-2</v>
      </c>
      <c r="D24" s="59"/>
      <c r="E24" s="36"/>
      <c r="F24" s="35"/>
      <c r="G24" s="35"/>
      <c r="H24" s="35"/>
      <c r="I24" s="35"/>
      <c r="J24" s="33"/>
    </row>
    <row r="25" spans="1:26" ht="15.75" customHeight="1">
      <c r="A25" s="91" t="s">
        <v>54</v>
      </c>
      <c r="B25" s="92"/>
      <c r="C25" s="92"/>
      <c r="D25" s="92"/>
      <c r="E25" s="92"/>
      <c r="F25" s="92"/>
      <c r="G25" s="92"/>
      <c r="H25" s="92"/>
      <c r="I25" s="92"/>
      <c r="J25" s="9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0" t="s">
        <v>49</v>
      </c>
      <c r="B26" s="46"/>
      <c r="C26" s="90">
        <v>1.222</v>
      </c>
      <c r="D26" s="31" t="s">
        <v>50</v>
      </c>
      <c r="E26" s="37">
        <v>1000</v>
      </c>
      <c r="F26" s="61" t="s">
        <v>51</v>
      </c>
      <c r="G26" s="54"/>
      <c r="H26" s="56" t="str">
        <f>IF(AND(C27&lt;0.15),"&lt;0.15",C27)</f>
        <v>&lt;0.15</v>
      </c>
      <c r="I26" s="57"/>
      <c r="J26" s="38" t="s">
        <v>52</v>
      </c>
    </row>
    <row r="27" spans="1:26" ht="15.75" customHeight="1">
      <c r="A27" s="34" t="s">
        <v>53</v>
      </c>
      <c r="B27" s="35"/>
      <c r="C27" s="62">
        <f>C26/1000</f>
        <v>1.222E-3</v>
      </c>
      <c r="D27" s="63"/>
      <c r="E27" s="36"/>
      <c r="F27" s="35"/>
      <c r="G27" s="35"/>
      <c r="H27" s="35"/>
      <c r="I27" s="35"/>
      <c r="J27" s="33"/>
    </row>
    <row r="28" spans="1:26" ht="15.75" customHeight="1">
      <c r="A28" s="91" t="s">
        <v>55</v>
      </c>
      <c r="B28" s="92"/>
      <c r="C28" s="92"/>
      <c r="D28" s="92"/>
      <c r="E28" s="92"/>
      <c r="F28" s="92"/>
      <c r="G28" s="92"/>
      <c r="H28" s="92"/>
      <c r="I28" s="92"/>
      <c r="J28" s="9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0" t="s">
        <v>49</v>
      </c>
      <c r="B29" s="46"/>
      <c r="C29" s="90">
        <v>143.94999999999999</v>
      </c>
      <c r="D29" s="31" t="s">
        <v>50</v>
      </c>
      <c r="E29" s="37">
        <v>1000</v>
      </c>
      <c r="F29" s="64" t="s">
        <v>51</v>
      </c>
      <c r="G29" s="46"/>
      <c r="H29" s="56" t="str">
        <f>IF(AND(C30&lt;0.15),"&lt;0.15",C30)</f>
        <v>&lt;0.15</v>
      </c>
      <c r="I29" s="57"/>
      <c r="J29" s="33" t="s">
        <v>52</v>
      </c>
    </row>
    <row r="30" spans="1:26" ht="15.75" customHeight="1">
      <c r="A30" s="34" t="s">
        <v>53</v>
      </c>
      <c r="B30" s="35"/>
      <c r="C30" s="58">
        <f>C29/1000</f>
        <v>0.14394999999999999</v>
      </c>
      <c r="D30" s="59"/>
      <c r="E30" s="36"/>
      <c r="F30" s="35"/>
      <c r="G30" s="35"/>
      <c r="H30" s="35"/>
      <c r="I30" s="35"/>
      <c r="J30" s="33"/>
    </row>
    <row r="31" spans="1:26" ht="15.75" customHeight="1">
      <c r="A31" s="86" t="s">
        <v>57</v>
      </c>
      <c r="B31" s="66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7" t="s">
        <v>59</v>
      </c>
      <c r="C32" s="46"/>
      <c r="D32" s="46"/>
      <c r="E32" s="69"/>
      <c r="F32" s="1"/>
      <c r="G32" s="1"/>
      <c r="H32" s="1"/>
      <c r="I32" s="1"/>
      <c r="J32" s="16"/>
    </row>
    <row r="33" spans="1:26" ht="15.75" customHeight="1">
      <c r="A33" s="21"/>
      <c r="B33" s="46"/>
      <c r="C33" s="46"/>
      <c r="D33" s="46"/>
      <c r="E33" s="69"/>
      <c r="F33" s="22"/>
      <c r="G33" s="1"/>
      <c r="H33" s="1"/>
      <c r="I33" s="1"/>
      <c r="J33" s="16"/>
    </row>
    <row r="34" spans="1:26" ht="15.75" customHeight="1">
      <c r="A34" s="23"/>
      <c r="B34" s="87" t="s">
        <v>60</v>
      </c>
      <c r="C34" s="46"/>
      <c r="D34" s="46"/>
      <c r="E34" s="69"/>
      <c r="F34" s="1"/>
      <c r="G34" s="1"/>
      <c r="H34" s="1"/>
      <c r="I34" s="1"/>
      <c r="J34" s="16"/>
    </row>
    <row r="35" spans="1:26" ht="15.75" customHeight="1">
      <c r="A35" s="23"/>
      <c r="B35" s="46"/>
      <c r="C35" s="46"/>
      <c r="D35" s="46"/>
      <c r="E35" s="6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3.5" customHeight="1">
      <c r="A38" s="88" t="s">
        <v>61</v>
      </c>
      <c r="B38" s="66"/>
      <c r="C38" s="66"/>
      <c r="D38" s="66"/>
      <c r="E38" s="67"/>
      <c r="F38" s="24"/>
      <c r="G38" s="25"/>
      <c r="H38" s="25"/>
      <c r="I38" s="25"/>
      <c r="J38" s="17"/>
    </row>
    <row r="39" spans="1:26" ht="12.75" customHeight="1">
      <c r="A39" s="84"/>
      <c r="B39" s="85"/>
      <c r="C39" s="85"/>
      <c r="D39" s="85"/>
      <c r="E39" s="89"/>
      <c r="F39" s="39" t="s">
        <v>67</v>
      </c>
      <c r="G39" s="27"/>
      <c r="H39" s="27"/>
      <c r="I39" s="27"/>
      <c r="J39" s="28"/>
    </row>
    <row r="40" spans="1:26" ht="15.75" customHeight="1">
      <c r="A40" s="83" t="s">
        <v>62</v>
      </c>
      <c r="B40" s="66"/>
      <c r="C40" s="66"/>
      <c r="D40" s="66"/>
      <c r="E40" s="66"/>
      <c r="F40" s="29"/>
      <c r="G40" s="25"/>
      <c r="H40" s="25"/>
      <c r="I40" s="25"/>
      <c r="J40" s="16"/>
    </row>
    <row r="41" spans="1:26" ht="11.25" customHeight="1">
      <c r="A41" s="84"/>
      <c r="B41" s="85"/>
      <c r="C41" s="85"/>
      <c r="D41" s="85"/>
      <c r="E41" s="85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B34:E35"/>
    <mergeCell ref="A38:E39"/>
    <mergeCell ref="A40:E41"/>
    <mergeCell ref="A29:B29"/>
    <mergeCell ref="F29:G29"/>
    <mergeCell ref="H29:I29"/>
    <mergeCell ref="C30:D30"/>
    <mergeCell ref="A31:B31"/>
    <mergeCell ref="B32:E33"/>
    <mergeCell ref="A25:J25"/>
    <mergeCell ref="A26:B26"/>
    <mergeCell ref="F26:G26"/>
    <mergeCell ref="H26:I26"/>
    <mergeCell ref="C27:D27"/>
    <mergeCell ref="A28:J28"/>
    <mergeCell ref="C21:D21"/>
    <mergeCell ref="A22:J22"/>
    <mergeCell ref="A23:B23"/>
    <mergeCell ref="F23:G23"/>
    <mergeCell ref="H23:I23"/>
    <mergeCell ref="C24:D24"/>
    <mergeCell ref="F18:H18"/>
    <mergeCell ref="I18:J18"/>
    <mergeCell ref="A19:J19"/>
    <mergeCell ref="A20:B20"/>
    <mergeCell ref="F20:G20"/>
    <mergeCell ref="H20:I20"/>
    <mergeCell ref="A16:B16"/>
    <mergeCell ref="C16:E16"/>
    <mergeCell ref="F16:H16"/>
    <mergeCell ref="I16:J16"/>
    <mergeCell ref="F17:H17"/>
    <mergeCell ref="I17:J17"/>
    <mergeCell ref="F14:H14"/>
    <mergeCell ref="I14:J14"/>
    <mergeCell ref="A15:B15"/>
    <mergeCell ref="C15:D15"/>
    <mergeCell ref="F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5:J5"/>
    <mergeCell ref="A6:J6"/>
    <mergeCell ref="A7:B7"/>
    <mergeCell ref="C7:E7"/>
    <mergeCell ref="G7:J7"/>
    <mergeCell ref="A8:B8"/>
    <mergeCell ref="C8:D8"/>
    <mergeCell ref="I8:J8"/>
    <mergeCell ref="A1:J1"/>
    <mergeCell ref="A2:J2"/>
    <mergeCell ref="A3:C3"/>
    <mergeCell ref="D3:J3"/>
    <mergeCell ref="A4:C4"/>
    <mergeCell ref="D4:J4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Z579"/>
  <sheetViews>
    <sheetView view="pageLayout" zoomScale="112" zoomScaleNormal="100" zoomScalePageLayoutView="112" workbookViewId="0">
      <selection activeCell="C30" sqref="C30:D30"/>
    </sheetView>
  </sheetViews>
  <sheetFormatPr defaultColWidth="14.42578125" defaultRowHeight="15" customHeight="1"/>
  <cols>
    <col min="1" max="1" width="12.85546875" style="41" customWidth="1"/>
    <col min="2" max="2" width="8" style="41" customWidth="1"/>
    <col min="3" max="3" width="11.28515625" style="41" customWidth="1"/>
    <col min="4" max="4" width="6" style="41" customWidth="1"/>
    <col min="5" max="5" width="6.85546875" style="41" customWidth="1"/>
    <col min="6" max="6" width="12.140625" style="41" customWidth="1"/>
    <col min="7" max="7" width="10" style="41" customWidth="1"/>
    <col min="8" max="8" width="8.5703125" style="41" customWidth="1"/>
    <col min="9" max="9" width="4.5703125" style="41" customWidth="1"/>
    <col min="10" max="10" width="6.7109375" style="41" customWidth="1"/>
    <col min="11" max="11" width="8" style="41" customWidth="1"/>
    <col min="12" max="16384" width="14.42578125" style="41"/>
  </cols>
  <sheetData>
    <row r="1" spans="1:26">
      <c r="A1" s="70" t="s">
        <v>0</v>
      </c>
      <c r="B1" s="71"/>
      <c r="C1" s="71"/>
      <c r="D1" s="71"/>
      <c r="E1" s="71"/>
      <c r="F1" s="71"/>
      <c r="G1" s="71"/>
      <c r="H1" s="71"/>
      <c r="I1" s="71"/>
      <c r="J1" s="72"/>
    </row>
    <row r="2" spans="1:26">
      <c r="A2" s="70" t="s">
        <v>1</v>
      </c>
      <c r="B2" s="71"/>
      <c r="C2" s="71"/>
      <c r="D2" s="71"/>
      <c r="E2" s="71"/>
      <c r="F2" s="71"/>
      <c r="G2" s="71"/>
      <c r="H2" s="71"/>
      <c r="I2" s="71"/>
      <c r="J2" s="72"/>
    </row>
    <row r="3" spans="1:26">
      <c r="A3" s="73" t="s">
        <v>2</v>
      </c>
      <c r="B3" s="71"/>
      <c r="C3" s="72"/>
      <c r="D3" s="94">
        <v>2024070255</v>
      </c>
      <c r="E3" s="95"/>
      <c r="F3" s="95"/>
      <c r="G3" s="95"/>
      <c r="H3" s="95"/>
      <c r="I3" s="95"/>
      <c r="J3" s="96"/>
    </row>
    <row r="4" spans="1:26">
      <c r="A4" s="73" t="s">
        <v>3</v>
      </c>
      <c r="B4" s="71"/>
      <c r="C4" s="72"/>
      <c r="D4" s="94">
        <v>80824</v>
      </c>
      <c r="E4" s="95"/>
      <c r="F4" s="95"/>
      <c r="G4" s="95"/>
      <c r="H4" s="95"/>
      <c r="I4" s="95"/>
      <c r="J4" s="96"/>
    </row>
    <row r="5" spans="1:26" ht="15" customHeight="1">
      <c r="A5" s="74" t="s">
        <v>4</v>
      </c>
      <c r="B5" s="71"/>
      <c r="C5" s="71"/>
      <c r="D5" s="71"/>
      <c r="E5" s="71"/>
      <c r="F5" s="71"/>
      <c r="G5" s="71"/>
      <c r="H5" s="71"/>
      <c r="I5" s="71"/>
      <c r="J5" s="7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4" t="s">
        <v>5</v>
      </c>
      <c r="B6" s="71"/>
      <c r="C6" s="71"/>
      <c r="D6" s="71"/>
      <c r="E6" s="71"/>
      <c r="F6" s="71"/>
      <c r="G6" s="71"/>
      <c r="H6" s="71"/>
      <c r="I6" s="71"/>
      <c r="J6" s="72"/>
    </row>
    <row r="7" spans="1:26" ht="30" customHeight="1">
      <c r="A7" s="75" t="s">
        <v>6</v>
      </c>
      <c r="B7" s="66"/>
      <c r="C7" s="76" t="s">
        <v>7</v>
      </c>
      <c r="D7" s="66"/>
      <c r="E7" s="66"/>
      <c r="F7" s="44" t="s">
        <v>8</v>
      </c>
      <c r="G7" s="65" t="s">
        <v>9</v>
      </c>
      <c r="H7" s="66"/>
      <c r="I7" s="66"/>
      <c r="J7" s="67"/>
    </row>
    <row r="8" spans="1:26" ht="15" customHeight="1">
      <c r="A8" s="77" t="s">
        <v>10</v>
      </c>
      <c r="B8" s="46"/>
      <c r="C8" s="78" t="s">
        <v>11</v>
      </c>
      <c r="D8" s="46"/>
      <c r="E8" s="4"/>
      <c r="F8" s="40" t="s">
        <v>12</v>
      </c>
      <c r="G8" s="6" t="s">
        <v>13</v>
      </c>
      <c r="H8" s="6" t="s">
        <v>14</v>
      </c>
      <c r="I8" s="68"/>
      <c r="J8" s="69"/>
    </row>
    <row r="9" spans="1:26" ht="30" customHeight="1">
      <c r="A9" s="77" t="s">
        <v>15</v>
      </c>
      <c r="B9" s="46"/>
      <c r="C9" s="78" t="s">
        <v>16</v>
      </c>
      <c r="D9" s="46"/>
      <c r="E9" s="7"/>
      <c r="F9" s="44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7" t="s">
        <v>20</v>
      </c>
      <c r="B10" s="46"/>
      <c r="C10" s="78" t="s">
        <v>21</v>
      </c>
      <c r="D10" s="46"/>
      <c r="E10" s="7"/>
      <c r="F10" s="44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7" t="s">
        <v>25</v>
      </c>
      <c r="B11" s="46"/>
      <c r="C11" s="78" t="s">
        <v>26</v>
      </c>
      <c r="D11" s="46"/>
      <c r="E11" s="7"/>
      <c r="F11" s="44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7" t="s">
        <v>30</v>
      </c>
      <c r="B12" s="46"/>
      <c r="C12" s="78" t="s">
        <v>31</v>
      </c>
      <c r="D12" s="46"/>
      <c r="E12" s="7"/>
      <c r="F12" s="44" t="s">
        <v>32</v>
      </c>
      <c r="G12" s="8" t="s">
        <v>33</v>
      </c>
      <c r="H12" s="8" t="s">
        <v>34</v>
      </c>
      <c r="I12" s="9"/>
      <c r="J12" s="10"/>
    </row>
    <row r="13" spans="1:26" ht="30">
      <c r="A13" s="77" t="s">
        <v>35</v>
      </c>
      <c r="B13" s="46"/>
      <c r="C13" s="78" t="s">
        <v>36</v>
      </c>
      <c r="D13" s="46"/>
      <c r="E13" s="7"/>
      <c r="F13" s="44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7" t="s">
        <v>40</v>
      </c>
      <c r="B14" s="46"/>
      <c r="C14" s="78" t="s">
        <v>41</v>
      </c>
      <c r="D14" s="46"/>
      <c r="E14" s="7"/>
      <c r="F14" s="79" t="s">
        <v>42</v>
      </c>
      <c r="G14" s="46"/>
      <c r="H14" s="46"/>
      <c r="I14" s="80" t="s">
        <v>43</v>
      </c>
      <c r="J14" s="69"/>
    </row>
    <row r="15" spans="1:26" ht="15" customHeight="1">
      <c r="A15" s="77" t="s">
        <v>44</v>
      </c>
      <c r="B15" s="46"/>
      <c r="C15" s="78" t="s">
        <v>45</v>
      </c>
      <c r="D15" s="46"/>
      <c r="E15" s="7"/>
      <c r="F15" s="81" t="s">
        <v>64</v>
      </c>
      <c r="G15" s="46"/>
      <c r="H15" s="46"/>
      <c r="I15" s="47">
        <v>45808</v>
      </c>
      <c r="J15" s="48"/>
    </row>
    <row r="16" spans="1:26" ht="15" customHeight="1">
      <c r="A16" s="77" t="s">
        <v>46</v>
      </c>
      <c r="B16" s="46"/>
      <c r="C16" s="82" t="s">
        <v>47</v>
      </c>
      <c r="D16" s="46"/>
      <c r="E16" s="46"/>
      <c r="F16" s="45" t="s">
        <v>65</v>
      </c>
      <c r="G16" s="46"/>
      <c r="H16" s="46"/>
      <c r="I16" s="47">
        <v>45716</v>
      </c>
      <c r="J16" s="48"/>
    </row>
    <row r="17" spans="1:26">
      <c r="A17" s="42"/>
      <c r="B17" s="44"/>
      <c r="C17" s="43"/>
      <c r="D17" s="43"/>
      <c r="E17" s="43"/>
      <c r="F17" s="45" t="s">
        <v>66</v>
      </c>
      <c r="G17" s="46"/>
      <c r="H17" s="46"/>
      <c r="I17" s="47">
        <v>45688</v>
      </c>
      <c r="J17" s="4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9" t="s">
        <v>63</v>
      </c>
      <c r="G18" s="50"/>
      <c r="H18" s="50"/>
      <c r="I18" s="51">
        <v>46142</v>
      </c>
      <c r="J18" s="52"/>
    </row>
    <row r="19" spans="1:26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>
      <c r="A20" s="53" t="s">
        <v>49</v>
      </c>
      <c r="B20" s="54"/>
      <c r="C20" s="90">
        <v>214.6</v>
      </c>
      <c r="D20" s="31" t="s">
        <v>50</v>
      </c>
      <c r="E20" s="32">
        <v>1000</v>
      </c>
      <c r="F20" s="55" t="s">
        <v>51</v>
      </c>
      <c r="G20" s="54"/>
      <c r="H20" s="56">
        <f>IF(AND(C21&lt;0.15),"&lt;0.15",C21)</f>
        <v>0.21459999999999999</v>
      </c>
      <c r="I20" s="57"/>
      <c r="J20" s="33" t="s">
        <v>52</v>
      </c>
    </row>
    <row r="21" spans="1:26" ht="15.75" customHeight="1">
      <c r="A21" s="34" t="s">
        <v>53</v>
      </c>
      <c r="B21" s="35"/>
      <c r="C21" s="58">
        <f>C20/1000</f>
        <v>0.21459999999999999</v>
      </c>
      <c r="D21" s="59"/>
      <c r="E21" s="36"/>
      <c r="F21" s="35"/>
      <c r="G21" s="35"/>
      <c r="H21" s="35"/>
      <c r="I21" s="35"/>
      <c r="J21" s="33"/>
    </row>
    <row r="22" spans="1:26" ht="15.75" customHeight="1">
      <c r="A22" s="91" t="s">
        <v>56</v>
      </c>
      <c r="B22" s="92"/>
      <c r="C22" s="92"/>
      <c r="D22" s="92"/>
      <c r="E22" s="92"/>
      <c r="F22" s="92"/>
      <c r="G22" s="92"/>
      <c r="H22" s="92"/>
      <c r="I22" s="92"/>
      <c r="J22" s="9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3" t="s">
        <v>49</v>
      </c>
      <c r="B23" s="54"/>
      <c r="C23" s="90">
        <v>12.731</v>
      </c>
      <c r="D23" s="31" t="s">
        <v>50</v>
      </c>
      <c r="E23" s="37">
        <v>1000</v>
      </c>
      <c r="F23" s="55" t="s">
        <v>51</v>
      </c>
      <c r="G23" s="54"/>
      <c r="H23" s="56" t="str">
        <f>IF(C24&lt;0.15,"&lt;0.15",C24)</f>
        <v>&lt;0.15</v>
      </c>
      <c r="I23" s="57"/>
      <c r="J23" s="33" t="s">
        <v>52</v>
      </c>
    </row>
    <row r="24" spans="1:26" ht="15.75" customHeight="1">
      <c r="A24" s="34" t="s">
        <v>53</v>
      </c>
      <c r="B24" s="35"/>
      <c r="C24" s="58">
        <f>C23/1000</f>
        <v>1.2730999999999999E-2</v>
      </c>
      <c r="D24" s="59"/>
      <c r="E24" s="36"/>
      <c r="F24" s="35"/>
      <c r="G24" s="35"/>
      <c r="H24" s="35"/>
      <c r="I24" s="35"/>
      <c r="J24" s="33"/>
    </row>
    <row r="25" spans="1:26" ht="15.75" customHeight="1">
      <c r="A25" s="91" t="s">
        <v>54</v>
      </c>
      <c r="B25" s="92"/>
      <c r="C25" s="92"/>
      <c r="D25" s="92"/>
      <c r="E25" s="92"/>
      <c r="F25" s="92"/>
      <c r="G25" s="92"/>
      <c r="H25" s="92"/>
      <c r="I25" s="92"/>
      <c r="J25" s="9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0" t="s">
        <v>49</v>
      </c>
      <c r="B26" s="46"/>
      <c r="C26" s="90">
        <v>1.762</v>
      </c>
      <c r="D26" s="31" t="s">
        <v>50</v>
      </c>
      <c r="E26" s="37">
        <v>1000</v>
      </c>
      <c r="F26" s="61" t="s">
        <v>51</v>
      </c>
      <c r="G26" s="54"/>
      <c r="H26" s="56" t="str">
        <f>IF(AND(C27&lt;0.15),"&lt;0.15",C27)</f>
        <v>&lt;0.15</v>
      </c>
      <c r="I26" s="57"/>
      <c r="J26" s="38" t="s">
        <v>52</v>
      </c>
    </row>
    <row r="27" spans="1:26" ht="15.75" customHeight="1">
      <c r="A27" s="34" t="s">
        <v>53</v>
      </c>
      <c r="B27" s="35"/>
      <c r="C27" s="62">
        <f>C26/1000</f>
        <v>1.7620000000000001E-3</v>
      </c>
      <c r="D27" s="63"/>
      <c r="E27" s="36"/>
      <c r="F27" s="35"/>
      <c r="G27" s="35"/>
      <c r="H27" s="35"/>
      <c r="I27" s="35"/>
      <c r="J27" s="33"/>
    </row>
    <row r="28" spans="1:26" ht="15.75" customHeight="1">
      <c r="A28" s="91" t="s">
        <v>55</v>
      </c>
      <c r="B28" s="92"/>
      <c r="C28" s="92"/>
      <c r="D28" s="92"/>
      <c r="E28" s="92"/>
      <c r="F28" s="92"/>
      <c r="G28" s="92"/>
      <c r="H28" s="92"/>
      <c r="I28" s="92"/>
      <c r="J28" s="9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0" t="s">
        <v>49</v>
      </c>
      <c r="B29" s="46"/>
      <c r="C29" s="90">
        <v>152</v>
      </c>
      <c r="D29" s="31" t="s">
        <v>50</v>
      </c>
      <c r="E29" s="37">
        <v>1000</v>
      </c>
      <c r="F29" s="64" t="s">
        <v>51</v>
      </c>
      <c r="G29" s="46"/>
      <c r="H29" s="56">
        <f>IF(AND(C30&lt;0.15),"&lt;0.15",C30)</f>
        <v>0.152</v>
      </c>
      <c r="I29" s="57"/>
      <c r="J29" s="33" t="s">
        <v>52</v>
      </c>
    </row>
    <row r="30" spans="1:26" ht="15.75" customHeight="1">
      <c r="A30" s="34" t="s">
        <v>53</v>
      </c>
      <c r="B30" s="35"/>
      <c r="C30" s="58">
        <f>C29/1000</f>
        <v>0.152</v>
      </c>
      <c r="D30" s="59"/>
      <c r="E30" s="36"/>
      <c r="F30" s="35"/>
      <c r="G30" s="35"/>
      <c r="H30" s="35"/>
      <c r="I30" s="35"/>
      <c r="J30" s="33"/>
    </row>
    <row r="31" spans="1:26" ht="15.75" customHeight="1">
      <c r="A31" s="86" t="s">
        <v>57</v>
      </c>
      <c r="B31" s="66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7" t="s">
        <v>59</v>
      </c>
      <c r="C32" s="46"/>
      <c r="D32" s="46"/>
      <c r="E32" s="69"/>
      <c r="F32" s="1"/>
      <c r="G32" s="1"/>
      <c r="H32" s="1"/>
      <c r="I32" s="1"/>
      <c r="J32" s="16"/>
    </row>
    <row r="33" spans="1:26" ht="15.75" customHeight="1">
      <c r="A33" s="21"/>
      <c r="B33" s="46"/>
      <c r="C33" s="46"/>
      <c r="D33" s="46"/>
      <c r="E33" s="69"/>
      <c r="F33" s="22"/>
      <c r="G33" s="1"/>
      <c r="H33" s="1"/>
      <c r="I33" s="1"/>
      <c r="J33" s="16"/>
    </row>
    <row r="34" spans="1:26" ht="15.75" customHeight="1">
      <c r="A34" s="23"/>
      <c r="B34" s="87" t="s">
        <v>60</v>
      </c>
      <c r="C34" s="46"/>
      <c r="D34" s="46"/>
      <c r="E34" s="69"/>
      <c r="F34" s="1"/>
      <c r="G34" s="1"/>
      <c r="H34" s="1"/>
      <c r="I34" s="1"/>
      <c r="J34" s="16"/>
    </row>
    <row r="35" spans="1:26" ht="15.75" customHeight="1">
      <c r="A35" s="23"/>
      <c r="B35" s="46"/>
      <c r="C35" s="46"/>
      <c r="D35" s="46"/>
      <c r="E35" s="6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3.5" customHeight="1">
      <c r="A38" s="88" t="s">
        <v>61</v>
      </c>
      <c r="B38" s="66"/>
      <c r="C38" s="66"/>
      <c r="D38" s="66"/>
      <c r="E38" s="67"/>
      <c r="F38" s="24"/>
      <c r="G38" s="25"/>
      <c r="H38" s="25"/>
      <c r="I38" s="25"/>
      <c r="J38" s="17"/>
    </row>
    <row r="39" spans="1:26" ht="12.75" customHeight="1">
      <c r="A39" s="84"/>
      <c r="B39" s="85"/>
      <c r="C39" s="85"/>
      <c r="D39" s="85"/>
      <c r="E39" s="89"/>
      <c r="F39" s="39" t="s">
        <v>67</v>
      </c>
      <c r="G39" s="27"/>
      <c r="H39" s="27"/>
      <c r="I39" s="27"/>
      <c r="J39" s="28"/>
    </row>
    <row r="40" spans="1:26" ht="15.75" customHeight="1">
      <c r="A40" s="83" t="s">
        <v>62</v>
      </c>
      <c r="B40" s="66"/>
      <c r="C40" s="66"/>
      <c r="D40" s="66"/>
      <c r="E40" s="66"/>
      <c r="F40" s="29"/>
      <c r="G40" s="25"/>
      <c r="H40" s="25"/>
      <c r="I40" s="25"/>
      <c r="J40" s="16"/>
    </row>
    <row r="41" spans="1:26" ht="11.25" customHeight="1">
      <c r="A41" s="84"/>
      <c r="B41" s="85"/>
      <c r="C41" s="85"/>
      <c r="D41" s="85"/>
      <c r="E41" s="85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B34:E35"/>
    <mergeCell ref="A38:E39"/>
    <mergeCell ref="A40:E41"/>
    <mergeCell ref="A29:B29"/>
    <mergeCell ref="F29:G29"/>
    <mergeCell ref="H29:I29"/>
    <mergeCell ref="C30:D30"/>
    <mergeCell ref="A31:B31"/>
    <mergeCell ref="B32:E33"/>
    <mergeCell ref="A25:J25"/>
    <mergeCell ref="A26:B26"/>
    <mergeCell ref="F26:G26"/>
    <mergeCell ref="H26:I26"/>
    <mergeCell ref="C27:D27"/>
    <mergeCell ref="A28:J28"/>
    <mergeCell ref="C21:D21"/>
    <mergeCell ref="A22:J22"/>
    <mergeCell ref="A23:B23"/>
    <mergeCell ref="F23:G23"/>
    <mergeCell ref="H23:I23"/>
    <mergeCell ref="C24:D24"/>
    <mergeCell ref="F18:H18"/>
    <mergeCell ref="I18:J18"/>
    <mergeCell ref="A19:J19"/>
    <mergeCell ref="A20:B20"/>
    <mergeCell ref="F20:G20"/>
    <mergeCell ref="H20:I20"/>
    <mergeCell ref="A16:B16"/>
    <mergeCell ref="C16:E16"/>
    <mergeCell ref="F16:H16"/>
    <mergeCell ref="I16:J16"/>
    <mergeCell ref="F17:H17"/>
    <mergeCell ref="I17:J17"/>
    <mergeCell ref="F14:H14"/>
    <mergeCell ref="I14:J14"/>
    <mergeCell ref="A15:B15"/>
    <mergeCell ref="C15:D15"/>
    <mergeCell ref="F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5:J5"/>
    <mergeCell ref="A6:J6"/>
    <mergeCell ref="A7:B7"/>
    <mergeCell ref="C7:E7"/>
    <mergeCell ref="G7:J7"/>
    <mergeCell ref="A8:B8"/>
    <mergeCell ref="C8:D8"/>
    <mergeCell ref="I8:J8"/>
    <mergeCell ref="A1:J1"/>
    <mergeCell ref="A2:J2"/>
    <mergeCell ref="A3:C3"/>
    <mergeCell ref="D3:J3"/>
    <mergeCell ref="A4:C4"/>
    <mergeCell ref="D4:J4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Z579"/>
  <sheetViews>
    <sheetView view="pageLayout" zoomScale="112" zoomScaleNormal="100" zoomScalePageLayoutView="112" workbookViewId="0">
      <selection activeCell="C30" sqref="C30:D30"/>
    </sheetView>
  </sheetViews>
  <sheetFormatPr defaultColWidth="14.42578125" defaultRowHeight="15" customHeight="1"/>
  <cols>
    <col min="1" max="1" width="12.85546875" style="41" customWidth="1"/>
    <col min="2" max="2" width="8" style="41" customWidth="1"/>
    <col min="3" max="3" width="11.28515625" style="41" customWidth="1"/>
    <col min="4" max="4" width="6" style="41" customWidth="1"/>
    <col min="5" max="5" width="6.85546875" style="41" customWidth="1"/>
    <col min="6" max="6" width="12.140625" style="41" customWidth="1"/>
    <col min="7" max="7" width="10" style="41" customWidth="1"/>
    <col min="8" max="8" width="8.5703125" style="41" customWidth="1"/>
    <col min="9" max="9" width="4.5703125" style="41" customWidth="1"/>
    <col min="10" max="10" width="6.7109375" style="41" customWidth="1"/>
    <col min="11" max="11" width="8" style="41" customWidth="1"/>
    <col min="12" max="16384" width="14.42578125" style="41"/>
  </cols>
  <sheetData>
    <row r="1" spans="1:26">
      <c r="A1" s="70" t="s">
        <v>0</v>
      </c>
      <c r="B1" s="71"/>
      <c r="C1" s="71"/>
      <c r="D1" s="71"/>
      <c r="E1" s="71"/>
      <c r="F1" s="71"/>
      <c r="G1" s="71"/>
      <c r="H1" s="71"/>
      <c r="I1" s="71"/>
      <c r="J1" s="72"/>
    </row>
    <row r="2" spans="1:26">
      <c r="A2" s="70" t="s">
        <v>1</v>
      </c>
      <c r="B2" s="71"/>
      <c r="C2" s="71"/>
      <c r="D2" s="71"/>
      <c r="E2" s="71"/>
      <c r="F2" s="71"/>
      <c r="G2" s="71"/>
      <c r="H2" s="71"/>
      <c r="I2" s="71"/>
      <c r="J2" s="72"/>
    </row>
    <row r="3" spans="1:26">
      <c r="A3" s="73" t="s">
        <v>2</v>
      </c>
      <c r="B3" s="71"/>
      <c r="C3" s="72"/>
      <c r="D3" s="94">
        <v>2024070254</v>
      </c>
      <c r="E3" s="95"/>
      <c r="F3" s="95"/>
      <c r="G3" s="95"/>
      <c r="H3" s="95"/>
      <c r="I3" s="95"/>
      <c r="J3" s="96"/>
    </row>
    <row r="4" spans="1:26">
      <c r="A4" s="73" t="s">
        <v>3</v>
      </c>
      <c r="B4" s="71"/>
      <c r="C4" s="72"/>
      <c r="D4" s="94">
        <v>80824</v>
      </c>
      <c r="E4" s="95"/>
      <c r="F4" s="95"/>
      <c r="G4" s="95"/>
      <c r="H4" s="95"/>
      <c r="I4" s="95"/>
      <c r="J4" s="96"/>
    </row>
    <row r="5" spans="1:26" ht="15" customHeight="1">
      <c r="A5" s="74" t="s">
        <v>4</v>
      </c>
      <c r="B5" s="71"/>
      <c r="C5" s="71"/>
      <c r="D5" s="71"/>
      <c r="E5" s="71"/>
      <c r="F5" s="71"/>
      <c r="G5" s="71"/>
      <c r="H5" s="71"/>
      <c r="I5" s="71"/>
      <c r="J5" s="7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4" t="s">
        <v>5</v>
      </c>
      <c r="B6" s="71"/>
      <c r="C6" s="71"/>
      <c r="D6" s="71"/>
      <c r="E6" s="71"/>
      <c r="F6" s="71"/>
      <c r="G6" s="71"/>
      <c r="H6" s="71"/>
      <c r="I6" s="71"/>
      <c r="J6" s="72"/>
    </row>
    <row r="7" spans="1:26" ht="30" customHeight="1">
      <c r="A7" s="75" t="s">
        <v>6</v>
      </c>
      <c r="B7" s="66"/>
      <c r="C7" s="76" t="s">
        <v>7</v>
      </c>
      <c r="D7" s="66"/>
      <c r="E7" s="66"/>
      <c r="F7" s="44" t="s">
        <v>8</v>
      </c>
      <c r="G7" s="65" t="s">
        <v>9</v>
      </c>
      <c r="H7" s="66"/>
      <c r="I7" s="66"/>
      <c r="J7" s="67"/>
    </row>
    <row r="8" spans="1:26" ht="15" customHeight="1">
      <c r="A8" s="77" t="s">
        <v>10</v>
      </c>
      <c r="B8" s="46"/>
      <c r="C8" s="78" t="s">
        <v>11</v>
      </c>
      <c r="D8" s="46"/>
      <c r="E8" s="4"/>
      <c r="F8" s="40" t="s">
        <v>12</v>
      </c>
      <c r="G8" s="6" t="s">
        <v>13</v>
      </c>
      <c r="H8" s="6" t="s">
        <v>14</v>
      </c>
      <c r="I8" s="68"/>
      <c r="J8" s="69"/>
    </row>
    <row r="9" spans="1:26" ht="30" customHeight="1">
      <c r="A9" s="77" t="s">
        <v>15</v>
      </c>
      <c r="B9" s="46"/>
      <c r="C9" s="78" t="s">
        <v>16</v>
      </c>
      <c r="D9" s="46"/>
      <c r="E9" s="7"/>
      <c r="F9" s="44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7" t="s">
        <v>20</v>
      </c>
      <c r="B10" s="46"/>
      <c r="C10" s="78" t="s">
        <v>21</v>
      </c>
      <c r="D10" s="46"/>
      <c r="E10" s="7"/>
      <c r="F10" s="44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7" t="s">
        <v>25</v>
      </c>
      <c r="B11" s="46"/>
      <c r="C11" s="78" t="s">
        <v>26</v>
      </c>
      <c r="D11" s="46"/>
      <c r="E11" s="7"/>
      <c r="F11" s="44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7" t="s">
        <v>30</v>
      </c>
      <c r="B12" s="46"/>
      <c r="C12" s="78" t="s">
        <v>31</v>
      </c>
      <c r="D12" s="46"/>
      <c r="E12" s="7"/>
      <c r="F12" s="44" t="s">
        <v>32</v>
      </c>
      <c r="G12" s="8" t="s">
        <v>33</v>
      </c>
      <c r="H12" s="8" t="s">
        <v>34</v>
      </c>
      <c r="I12" s="9"/>
      <c r="J12" s="10"/>
    </row>
    <row r="13" spans="1:26" ht="30">
      <c r="A13" s="77" t="s">
        <v>35</v>
      </c>
      <c r="B13" s="46"/>
      <c r="C13" s="78" t="s">
        <v>36</v>
      </c>
      <c r="D13" s="46"/>
      <c r="E13" s="7"/>
      <c r="F13" s="44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7" t="s">
        <v>40</v>
      </c>
      <c r="B14" s="46"/>
      <c r="C14" s="78" t="s">
        <v>41</v>
      </c>
      <c r="D14" s="46"/>
      <c r="E14" s="7"/>
      <c r="F14" s="79" t="s">
        <v>42</v>
      </c>
      <c r="G14" s="46"/>
      <c r="H14" s="46"/>
      <c r="I14" s="80" t="s">
        <v>43</v>
      </c>
      <c r="J14" s="69"/>
    </row>
    <row r="15" spans="1:26" ht="15" customHeight="1">
      <c r="A15" s="77" t="s">
        <v>44</v>
      </c>
      <c r="B15" s="46"/>
      <c r="C15" s="78" t="s">
        <v>45</v>
      </c>
      <c r="D15" s="46"/>
      <c r="E15" s="7"/>
      <c r="F15" s="81" t="s">
        <v>64</v>
      </c>
      <c r="G15" s="46"/>
      <c r="H15" s="46"/>
      <c r="I15" s="47">
        <v>45808</v>
      </c>
      <c r="J15" s="48"/>
    </row>
    <row r="16" spans="1:26" ht="15" customHeight="1">
      <c r="A16" s="77" t="s">
        <v>46</v>
      </c>
      <c r="B16" s="46"/>
      <c r="C16" s="82" t="s">
        <v>47</v>
      </c>
      <c r="D16" s="46"/>
      <c r="E16" s="46"/>
      <c r="F16" s="45" t="s">
        <v>65</v>
      </c>
      <c r="G16" s="46"/>
      <c r="H16" s="46"/>
      <c r="I16" s="47">
        <v>45716</v>
      </c>
      <c r="J16" s="48"/>
    </row>
    <row r="17" spans="1:26">
      <c r="A17" s="42"/>
      <c r="B17" s="44"/>
      <c r="C17" s="43"/>
      <c r="D17" s="43"/>
      <c r="E17" s="43"/>
      <c r="F17" s="45" t="s">
        <v>66</v>
      </c>
      <c r="G17" s="46"/>
      <c r="H17" s="46"/>
      <c r="I17" s="47">
        <v>45688</v>
      </c>
      <c r="J17" s="4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9" t="s">
        <v>63</v>
      </c>
      <c r="G18" s="50"/>
      <c r="H18" s="50"/>
      <c r="I18" s="51">
        <v>46142</v>
      </c>
      <c r="J18" s="52"/>
    </row>
    <row r="19" spans="1:26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>
      <c r="A20" s="53" t="s">
        <v>49</v>
      </c>
      <c r="B20" s="54"/>
      <c r="C20" s="90">
        <v>96.953000000000003</v>
      </c>
      <c r="D20" s="31" t="s">
        <v>50</v>
      </c>
      <c r="E20" s="32">
        <v>1000</v>
      </c>
      <c r="F20" s="55" t="s">
        <v>51</v>
      </c>
      <c r="G20" s="54"/>
      <c r="H20" s="56" t="str">
        <f>IF(AND(C21&lt;0.15),"&lt;0.15",C21)</f>
        <v>&lt;0.15</v>
      </c>
      <c r="I20" s="57"/>
      <c r="J20" s="33" t="s">
        <v>52</v>
      </c>
    </row>
    <row r="21" spans="1:26" ht="15.75" customHeight="1">
      <c r="A21" s="34" t="s">
        <v>53</v>
      </c>
      <c r="B21" s="35"/>
      <c r="C21" s="58">
        <f>C20/1000</f>
        <v>9.6952999999999998E-2</v>
      </c>
      <c r="D21" s="59"/>
      <c r="E21" s="36"/>
      <c r="F21" s="35"/>
      <c r="G21" s="35"/>
      <c r="H21" s="35"/>
      <c r="I21" s="35"/>
      <c r="J21" s="33"/>
    </row>
    <row r="22" spans="1:26" ht="15.75" customHeight="1">
      <c r="A22" s="91" t="s">
        <v>56</v>
      </c>
      <c r="B22" s="92"/>
      <c r="C22" s="92"/>
      <c r="D22" s="92"/>
      <c r="E22" s="92"/>
      <c r="F22" s="92"/>
      <c r="G22" s="92"/>
      <c r="H22" s="92"/>
      <c r="I22" s="92"/>
      <c r="J22" s="9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3" t="s">
        <v>49</v>
      </c>
      <c r="B23" s="54"/>
      <c r="C23" s="90">
        <v>6.5140000000000002</v>
      </c>
      <c r="D23" s="31" t="s">
        <v>50</v>
      </c>
      <c r="E23" s="37">
        <v>1000</v>
      </c>
      <c r="F23" s="55" t="s">
        <v>51</v>
      </c>
      <c r="G23" s="54"/>
      <c r="H23" s="56" t="str">
        <f>IF(C24&lt;0.15,"&lt;0.15",C24)</f>
        <v>&lt;0.15</v>
      </c>
      <c r="I23" s="57"/>
      <c r="J23" s="33" t="s">
        <v>52</v>
      </c>
    </row>
    <row r="24" spans="1:26" ht="15.75" customHeight="1">
      <c r="A24" s="34" t="s">
        <v>53</v>
      </c>
      <c r="B24" s="35"/>
      <c r="C24" s="58">
        <f>C23/1000</f>
        <v>6.5139999999999998E-3</v>
      </c>
      <c r="D24" s="59"/>
      <c r="E24" s="36"/>
      <c r="F24" s="35"/>
      <c r="G24" s="35"/>
      <c r="H24" s="35"/>
      <c r="I24" s="35"/>
      <c r="J24" s="33"/>
    </row>
    <row r="25" spans="1:26" ht="15.75" customHeight="1">
      <c r="A25" s="91" t="s">
        <v>54</v>
      </c>
      <c r="B25" s="92"/>
      <c r="C25" s="92"/>
      <c r="D25" s="92"/>
      <c r="E25" s="92"/>
      <c r="F25" s="92"/>
      <c r="G25" s="92"/>
      <c r="H25" s="92"/>
      <c r="I25" s="92"/>
      <c r="J25" s="9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0" t="s">
        <v>49</v>
      </c>
      <c r="B26" s="46"/>
      <c r="C26" s="90">
        <v>1.4510000000000001</v>
      </c>
      <c r="D26" s="31" t="s">
        <v>50</v>
      </c>
      <c r="E26" s="37">
        <v>1000</v>
      </c>
      <c r="F26" s="61" t="s">
        <v>51</v>
      </c>
      <c r="G26" s="54"/>
      <c r="H26" s="56" t="str">
        <f>IF(AND(C27&lt;0.15),"&lt;0.15",C27)</f>
        <v>&lt;0.15</v>
      </c>
      <c r="I26" s="57"/>
      <c r="J26" s="38" t="s">
        <v>52</v>
      </c>
    </row>
    <row r="27" spans="1:26" ht="15.75" customHeight="1">
      <c r="A27" s="34" t="s">
        <v>53</v>
      </c>
      <c r="B27" s="35"/>
      <c r="C27" s="62">
        <f>C26/1000</f>
        <v>1.451E-3</v>
      </c>
      <c r="D27" s="63"/>
      <c r="E27" s="36"/>
      <c r="F27" s="35"/>
      <c r="G27" s="35"/>
      <c r="H27" s="35"/>
      <c r="I27" s="35"/>
      <c r="J27" s="33"/>
    </row>
    <row r="28" spans="1:26" ht="15.75" customHeight="1">
      <c r="A28" s="91" t="s">
        <v>55</v>
      </c>
      <c r="B28" s="92"/>
      <c r="C28" s="92"/>
      <c r="D28" s="92"/>
      <c r="E28" s="92"/>
      <c r="F28" s="92"/>
      <c r="G28" s="92"/>
      <c r="H28" s="92"/>
      <c r="I28" s="92"/>
      <c r="J28" s="9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0" t="s">
        <v>49</v>
      </c>
      <c r="B29" s="46"/>
      <c r="C29" s="90">
        <v>58.643999999999998</v>
      </c>
      <c r="D29" s="31" t="s">
        <v>50</v>
      </c>
      <c r="E29" s="37">
        <v>1000</v>
      </c>
      <c r="F29" s="64" t="s">
        <v>51</v>
      </c>
      <c r="G29" s="46"/>
      <c r="H29" s="56" t="str">
        <f>IF(AND(C30&lt;0.15),"&lt;0.15",C30)</f>
        <v>&lt;0.15</v>
      </c>
      <c r="I29" s="57"/>
      <c r="J29" s="33" t="s">
        <v>52</v>
      </c>
    </row>
    <row r="30" spans="1:26" ht="15.75" customHeight="1">
      <c r="A30" s="34" t="s">
        <v>53</v>
      </c>
      <c r="B30" s="35"/>
      <c r="C30" s="58">
        <f>C29/1000</f>
        <v>5.8644000000000002E-2</v>
      </c>
      <c r="D30" s="59"/>
      <c r="E30" s="36"/>
      <c r="F30" s="35"/>
      <c r="G30" s="35"/>
      <c r="H30" s="35"/>
      <c r="I30" s="35"/>
      <c r="J30" s="33"/>
    </row>
    <row r="31" spans="1:26" ht="15.75" customHeight="1">
      <c r="A31" s="86" t="s">
        <v>57</v>
      </c>
      <c r="B31" s="66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7" t="s">
        <v>59</v>
      </c>
      <c r="C32" s="46"/>
      <c r="D32" s="46"/>
      <c r="E32" s="69"/>
      <c r="F32" s="1"/>
      <c r="G32" s="1"/>
      <c r="H32" s="1"/>
      <c r="I32" s="1"/>
      <c r="J32" s="16"/>
    </row>
    <row r="33" spans="1:26" ht="15.75" customHeight="1">
      <c r="A33" s="21"/>
      <c r="B33" s="46"/>
      <c r="C33" s="46"/>
      <c r="D33" s="46"/>
      <c r="E33" s="69"/>
      <c r="F33" s="22"/>
      <c r="G33" s="1"/>
      <c r="H33" s="1"/>
      <c r="I33" s="1"/>
      <c r="J33" s="16"/>
    </row>
    <row r="34" spans="1:26" ht="15.75" customHeight="1">
      <c r="A34" s="23"/>
      <c r="B34" s="87" t="s">
        <v>60</v>
      </c>
      <c r="C34" s="46"/>
      <c r="D34" s="46"/>
      <c r="E34" s="69"/>
      <c r="F34" s="1"/>
      <c r="G34" s="1"/>
      <c r="H34" s="1"/>
      <c r="I34" s="1"/>
      <c r="J34" s="16"/>
    </row>
    <row r="35" spans="1:26" ht="15.75" customHeight="1">
      <c r="A35" s="23"/>
      <c r="B35" s="46"/>
      <c r="C35" s="46"/>
      <c r="D35" s="46"/>
      <c r="E35" s="6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3.5" customHeight="1">
      <c r="A38" s="88" t="s">
        <v>61</v>
      </c>
      <c r="B38" s="66"/>
      <c r="C38" s="66"/>
      <c r="D38" s="66"/>
      <c r="E38" s="67"/>
      <c r="F38" s="24"/>
      <c r="G38" s="25"/>
      <c r="H38" s="25"/>
      <c r="I38" s="25"/>
      <c r="J38" s="17"/>
    </row>
    <row r="39" spans="1:26" ht="12.75" customHeight="1">
      <c r="A39" s="84"/>
      <c r="B39" s="85"/>
      <c r="C39" s="85"/>
      <c r="D39" s="85"/>
      <c r="E39" s="89"/>
      <c r="F39" s="39" t="s">
        <v>67</v>
      </c>
      <c r="G39" s="27"/>
      <c r="H39" s="27"/>
      <c r="I39" s="27"/>
      <c r="J39" s="28"/>
    </row>
    <row r="40" spans="1:26" ht="15.75" customHeight="1">
      <c r="A40" s="83" t="s">
        <v>62</v>
      </c>
      <c r="B40" s="66"/>
      <c r="C40" s="66"/>
      <c r="D40" s="66"/>
      <c r="E40" s="66"/>
      <c r="F40" s="29"/>
      <c r="G40" s="25"/>
      <c r="H40" s="25"/>
      <c r="I40" s="25"/>
      <c r="J40" s="16"/>
    </row>
    <row r="41" spans="1:26" ht="11.25" customHeight="1">
      <c r="A41" s="84"/>
      <c r="B41" s="85"/>
      <c r="C41" s="85"/>
      <c r="D41" s="85"/>
      <c r="E41" s="85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B34:E35"/>
    <mergeCell ref="A38:E39"/>
    <mergeCell ref="A40:E41"/>
    <mergeCell ref="A29:B29"/>
    <mergeCell ref="F29:G29"/>
    <mergeCell ref="H29:I29"/>
    <mergeCell ref="C30:D30"/>
    <mergeCell ref="A31:B31"/>
    <mergeCell ref="B32:E33"/>
    <mergeCell ref="A25:J25"/>
    <mergeCell ref="A26:B26"/>
    <mergeCell ref="F26:G26"/>
    <mergeCell ref="H26:I26"/>
    <mergeCell ref="C27:D27"/>
    <mergeCell ref="A28:J28"/>
    <mergeCell ref="C21:D21"/>
    <mergeCell ref="A22:J22"/>
    <mergeCell ref="A23:B23"/>
    <mergeCell ref="F23:G23"/>
    <mergeCell ref="H23:I23"/>
    <mergeCell ref="C24:D24"/>
    <mergeCell ref="F18:H18"/>
    <mergeCell ref="I18:J18"/>
    <mergeCell ref="A19:J19"/>
    <mergeCell ref="A20:B20"/>
    <mergeCell ref="F20:G20"/>
    <mergeCell ref="H20:I20"/>
    <mergeCell ref="A16:B16"/>
    <mergeCell ref="C16:E16"/>
    <mergeCell ref="F16:H16"/>
    <mergeCell ref="I16:J16"/>
    <mergeCell ref="F17:H17"/>
    <mergeCell ref="I17:J17"/>
    <mergeCell ref="F14:H14"/>
    <mergeCell ref="I14:J14"/>
    <mergeCell ref="A15:B15"/>
    <mergeCell ref="C15:D15"/>
    <mergeCell ref="F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5:J5"/>
    <mergeCell ref="A6:J6"/>
    <mergeCell ref="A7:B7"/>
    <mergeCell ref="C7:E7"/>
    <mergeCell ref="G7:J7"/>
    <mergeCell ref="A8:B8"/>
    <mergeCell ref="C8:D8"/>
    <mergeCell ref="I8:J8"/>
    <mergeCell ref="A1:J1"/>
    <mergeCell ref="A2:J2"/>
    <mergeCell ref="A3:C3"/>
    <mergeCell ref="D3:J3"/>
    <mergeCell ref="A4:C4"/>
    <mergeCell ref="D4:J4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Z579"/>
  <sheetViews>
    <sheetView view="pageLayout" topLeftCell="A16" zoomScale="112" zoomScaleNormal="100" zoomScalePageLayoutView="112" workbookViewId="0">
      <selection activeCell="B32" sqref="B32:E33"/>
    </sheetView>
  </sheetViews>
  <sheetFormatPr defaultColWidth="14.42578125" defaultRowHeight="15" customHeight="1"/>
  <cols>
    <col min="1" max="1" width="12.85546875" style="41" customWidth="1"/>
    <col min="2" max="2" width="8" style="41" customWidth="1"/>
    <col min="3" max="3" width="11.28515625" style="41" customWidth="1"/>
    <col min="4" max="4" width="6" style="41" customWidth="1"/>
    <col min="5" max="5" width="6.85546875" style="41" customWidth="1"/>
    <col min="6" max="6" width="12.140625" style="41" customWidth="1"/>
    <col min="7" max="7" width="10" style="41" customWidth="1"/>
    <col min="8" max="8" width="8.5703125" style="41" customWidth="1"/>
    <col min="9" max="9" width="4.5703125" style="41" customWidth="1"/>
    <col min="10" max="10" width="6.7109375" style="41" customWidth="1"/>
    <col min="11" max="11" width="8" style="41" customWidth="1"/>
    <col min="12" max="16384" width="14.42578125" style="41"/>
  </cols>
  <sheetData>
    <row r="1" spans="1:26">
      <c r="A1" s="70" t="s">
        <v>0</v>
      </c>
      <c r="B1" s="71"/>
      <c r="C1" s="71"/>
      <c r="D1" s="71"/>
      <c r="E1" s="71"/>
      <c r="F1" s="71"/>
      <c r="G1" s="71"/>
      <c r="H1" s="71"/>
      <c r="I1" s="71"/>
      <c r="J1" s="72"/>
    </row>
    <row r="2" spans="1:26">
      <c r="A2" s="70" t="s">
        <v>1</v>
      </c>
      <c r="B2" s="71"/>
      <c r="C2" s="71"/>
      <c r="D2" s="71"/>
      <c r="E2" s="71"/>
      <c r="F2" s="71"/>
      <c r="G2" s="71"/>
      <c r="H2" s="71"/>
      <c r="I2" s="71"/>
      <c r="J2" s="72"/>
    </row>
    <row r="3" spans="1:26">
      <c r="A3" s="73" t="s">
        <v>2</v>
      </c>
      <c r="B3" s="71"/>
      <c r="C3" s="72"/>
      <c r="D3" s="94">
        <v>2024070253</v>
      </c>
      <c r="E3" s="95"/>
      <c r="F3" s="95"/>
      <c r="G3" s="95"/>
      <c r="H3" s="95"/>
      <c r="I3" s="95"/>
      <c r="J3" s="96"/>
    </row>
    <row r="4" spans="1:26">
      <c r="A4" s="73" t="s">
        <v>3</v>
      </c>
      <c r="B4" s="71"/>
      <c r="C4" s="72"/>
      <c r="D4" s="94">
        <v>80824</v>
      </c>
      <c r="E4" s="95"/>
      <c r="F4" s="95"/>
      <c r="G4" s="95"/>
      <c r="H4" s="95"/>
      <c r="I4" s="95"/>
      <c r="J4" s="96"/>
    </row>
    <row r="5" spans="1:26" ht="15" customHeight="1">
      <c r="A5" s="74" t="s">
        <v>4</v>
      </c>
      <c r="B5" s="71"/>
      <c r="C5" s="71"/>
      <c r="D5" s="71"/>
      <c r="E5" s="71"/>
      <c r="F5" s="71"/>
      <c r="G5" s="71"/>
      <c r="H5" s="71"/>
      <c r="I5" s="71"/>
      <c r="J5" s="7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4" t="s">
        <v>5</v>
      </c>
      <c r="B6" s="71"/>
      <c r="C6" s="71"/>
      <c r="D6" s="71"/>
      <c r="E6" s="71"/>
      <c r="F6" s="71"/>
      <c r="G6" s="71"/>
      <c r="H6" s="71"/>
      <c r="I6" s="71"/>
      <c r="J6" s="72"/>
    </row>
    <row r="7" spans="1:26" ht="30" customHeight="1">
      <c r="A7" s="75" t="s">
        <v>6</v>
      </c>
      <c r="B7" s="66"/>
      <c r="C7" s="76" t="s">
        <v>7</v>
      </c>
      <c r="D7" s="66"/>
      <c r="E7" s="66"/>
      <c r="F7" s="44" t="s">
        <v>8</v>
      </c>
      <c r="G7" s="65" t="s">
        <v>9</v>
      </c>
      <c r="H7" s="66"/>
      <c r="I7" s="66"/>
      <c r="J7" s="67"/>
    </row>
    <row r="8" spans="1:26" ht="15" customHeight="1">
      <c r="A8" s="77" t="s">
        <v>10</v>
      </c>
      <c r="B8" s="46"/>
      <c r="C8" s="78" t="s">
        <v>11</v>
      </c>
      <c r="D8" s="46"/>
      <c r="E8" s="4"/>
      <c r="F8" s="40" t="s">
        <v>12</v>
      </c>
      <c r="G8" s="6" t="s">
        <v>13</v>
      </c>
      <c r="H8" s="6" t="s">
        <v>14</v>
      </c>
      <c r="I8" s="68"/>
      <c r="J8" s="69"/>
    </row>
    <row r="9" spans="1:26" ht="30" customHeight="1">
      <c r="A9" s="77" t="s">
        <v>15</v>
      </c>
      <c r="B9" s="46"/>
      <c r="C9" s="78" t="s">
        <v>16</v>
      </c>
      <c r="D9" s="46"/>
      <c r="E9" s="7"/>
      <c r="F9" s="44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7" t="s">
        <v>20</v>
      </c>
      <c r="B10" s="46"/>
      <c r="C10" s="78" t="s">
        <v>21</v>
      </c>
      <c r="D10" s="46"/>
      <c r="E10" s="7"/>
      <c r="F10" s="44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7" t="s">
        <v>25</v>
      </c>
      <c r="B11" s="46"/>
      <c r="C11" s="78" t="s">
        <v>26</v>
      </c>
      <c r="D11" s="46"/>
      <c r="E11" s="7"/>
      <c r="F11" s="44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7" t="s">
        <v>30</v>
      </c>
      <c r="B12" s="46"/>
      <c r="C12" s="78" t="s">
        <v>31</v>
      </c>
      <c r="D12" s="46"/>
      <c r="E12" s="7"/>
      <c r="F12" s="44" t="s">
        <v>32</v>
      </c>
      <c r="G12" s="8" t="s">
        <v>33</v>
      </c>
      <c r="H12" s="8" t="s">
        <v>34</v>
      </c>
      <c r="I12" s="9"/>
      <c r="J12" s="10"/>
    </row>
    <row r="13" spans="1:26" ht="30">
      <c r="A13" s="77" t="s">
        <v>35</v>
      </c>
      <c r="B13" s="46"/>
      <c r="C13" s="78" t="s">
        <v>36</v>
      </c>
      <c r="D13" s="46"/>
      <c r="E13" s="7"/>
      <c r="F13" s="44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7" t="s">
        <v>40</v>
      </c>
      <c r="B14" s="46"/>
      <c r="C14" s="78" t="s">
        <v>41</v>
      </c>
      <c r="D14" s="46"/>
      <c r="E14" s="7"/>
      <c r="F14" s="79" t="s">
        <v>42</v>
      </c>
      <c r="G14" s="46"/>
      <c r="H14" s="46"/>
      <c r="I14" s="80" t="s">
        <v>43</v>
      </c>
      <c r="J14" s="69"/>
    </row>
    <row r="15" spans="1:26" ht="15" customHeight="1">
      <c r="A15" s="77" t="s">
        <v>44</v>
      </c>
      <c r="B15" s="46"/>
      <c r="C15" s="78" t="s">
        <v>45</v>
      </c>
      <c r="D15" s="46"/>
      <c r="E15" s="7"/>
      <c r="F15" s="81" t="s">
        <v>64</v>
      </c>
      <c r="G15" s="46"/>
      <c r="H15" s="46"/>
      <c r="I15" s="47">
        <v>45808</v>
      </c>
      <c r="J15" s="48"/>
    </row>
    <row r="16" spans="1:26" ht="15" customHeight="1">
      <c r="A16" s="77" t="s">
        <v>46</v>
      </c>
      <c r="B16" s="46"/>
      <c r="C16" s="82" t="s">
        <v>47</v>
      </c>
      <c r="D16" s="46"/>
      <c r="E16" s="46"/>
      <c r="F16" s="45" t="s">
        <v>65</v>
      </c>
      <c r="G16" s="46"/>
      <c r="H16" s="46"/>
      <c r="I16" s="47">
        <v>45716</v>
      </c>
      <c r="J16" s="48"/>
    </row>
    <row r="17" spans="1:26">
      <c r="A17" s="42"/>
      <c r="B17" s="44"/>
      <c r="C17" s="43"/>
      <c r="D17" s="43"/>
      <c r="E17" s="43"/>
      <c r="F17" s="45" t="s">
        <v>66</v>
      </c>
      <c r="G17" s="46"/>
      <c r="H17" s="46"/>
      <c r="I17" s="47">
        <v>45688</v>
      </c>
      <c r="J17" s="4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9" t="s">
        <v>63</v>
      </c>
      <c r="G18" s="50"/>
      <c r="H18" s="50"/>
      <c r="I18" s="51">
        <v>46142</v>
      </c>
      <c r="J18" s="52"/>
    </row>
    <row r="19" spans="1:26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>
      <c r="A20" s="53" t="s">
        <v>49</v>
      </c>
      <c r="B20" s="54"/>
      <c r="C20" s="90">
        <v>39.56</v>
      </c>
      <c r="D20" s="31" t="s">
        <v>50</v>
      </c>
      <c r="E20" s="32">
        <v>1000</v>
      </c>
      <c r="F20" s="55" t="s">
        <v>51</v>
      </c>
      <c r="G20" s="54"/>
      <c r="H20" s="56" t="str">
        <f>IF(AND(C21&lt;0.15),"&lt;0.15",C21)</f>
        <v>&lt;0.15</v>
      </c>
      <c r="I20" s="57"/>
      <c r="J20" s="33" t="s">
        <v>52</v>
      </c>
    </row>
    <row r="21" spans="1:26" ht="15.75" customHeight="1">
      <c r="A21" s="34" t="s">
        <v>53</v>
      </c>
      <c r="B21" s="35"/>
      <c r="C21" s="58">
        <f>C20/1000</f>
        <v>3.9560000000000005E-2</v>
      </c>
      <c r="D21" s="59"/>
      <c r="E21" s="36"/>
      <c r="F21" s="35"/>
      <c r="G21" s="35"/>
      <c r="H21" s="35"/>
      <c r="I21" s="35"/>
      <c r="J21" s="33"/>
    </row>
    <row r="22" spans="1:26" ht="15.75" customHeight="1">
      <c r="A22" s="91" t="s">
        <v>56</v>
      </c>
      <c r="B22" s="92"/>
      <c r="C22" s="92"/>
      <c r="D22" s="92"/>
      <c r="E22" s="92"/>
      <c r="F22" s="92"/>
      <c r="G22" s="92"/>
      <c r="H22" s="92"/>
      <c r="I22" s="92"/>
      <c r="J22" s="9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3" t="s">
        <v>49</v>
      </c>
      <c r="B23" s="54"/>
      <c r="C23" s="90">
        <v>12.198</v>
      </c>
      <c r="D23" s="31" t="s">
        <v>50</v>
      </c>
      <c r="E23" s="37">
        <v>1000</v>
      </c>
      <c r="F23" s="55" t="s">
        <v>51</v>
      </c>
      <c r="G23" s="54"/>
      <c r="H23" s="56" t="str">
        <f>IF(C24&lt;0.15,"&lt;0.15",C24)</f>
        <v>&lt;0.15</v>
      </c>
      <c r="I23" s="57"/>
      <c r="J23" s="33" t="s">
        <v>52</v>
      </c>
    </row>
    <row r="24" spans="1:26" ht="15.75" customHeight="1">
      <c r="A24" s="34" t="s">
        <v>53</v>
      </c>
      <c r="B24" s="35"/>
      <c r="C24" s="58">
        <f>C23/1000</f>
        <v>1.2198000000000001E-2</v>
      </c>
      <c r="D24" s="59"/>
      <c r="E24" s="36"/>
      <c r="F24" s="35"/>
      <c r="G24" s="35"/>
      <c r="H24" s="35"/>
      <c r="I24" s="35"/>
      <c r="J24" s="33"/>
    </row>
    <row r="25" spans="1:26" ht="15.75" customHeight="1">
      <c r="A25" s="91" t="s">
        <v>54</v>
      </c>
      <c r="B25" s="92"/>
      <c r="C25" s="92"/>
      <c r="D25" s="92"/>
      <c r="E25" s="92"/>
      <c r="F25" s="92"/>
      <c r="G25" s="92"/>
      <c r="H25" s="92"/>
      <c r="I25" s="92"/>
      <c r="J25" s="9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0" t="s">
        <v>49</v>
      </c>
      <c r="B26" s="46"/>
      <c r="C26" s="90">
        <v>2.6760000000000002</v>
      </c>
      <c r="D26" s="31" t="s">
        <v>50</v>
      </c>
      <c r="E26" s="37">
        <v>1000</v>
      </c>
      <c r="F26" s="61" t="s">
        <v>51</v>
      </c>
      <c r="G26" s="54"/>
      <c r="H26" s="56" t="str">
        <f>IF(AND(C27&lt;0.15),"&lt;0.15",C27)</f>
        <v>&lt;0.15</v>
      </c>
      <c r="I26" s="57"/>
      <c r="J26" s="38" t="s">
        <v>52</v>
      </c>
    </row>
    <row r="27" spans="1:26" ht="15.75" customHeight="1">
      <c r="A27" s="34" t="s">
        <v>53</v>
      </c>
      <c r="B27" s="35"/>
      <c r="C27" s="62">
        <f>C26/1000</f>
        <v>2.676E-3</v>
      </c>
      <c r="D27" s="63"/>
      <c r="E27" s="36"/>
      <c r="F27" s="35"/>
      <c r="G27" s="35"/>
      <c r="H27" s="35"/>
      <c r="I27" s="35"/>
      <c r="J27" s="33"/>
    </row>
    <row r="28" spans="1:26" ht="15.75" customHeight="1">
      <c r="A28" s="91" t="s">
        <v>55</v>
      </c>
      <c r="B28" s="92"/>
      <c r="C28" s="92"/>
      <c r="D28" s="92"/>
      <c r="E28" s="92"/>
      <c r="F28" s="92"/>
      <c r="G28" s="92"/>
      <c r="H28" s="92"/>
      <c r="I28" s="92"/>
      <c r="J28" s="9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0" t="s">
        <v>49</v>
      </c>
      <c r="B29" s="46"/>
      <c r="C29" s="90">
        <v>91.888999999999996</v>
      </c>
      <c r="D29" s="31" t="s">
        <v>50</v>
      </c>
      <c r="E29" s="37">
        <v>1000</v>
      </c>
      <c r="F29" s="64" t="s">
        <v>51</v>
      </c>
      <c r="G29" s="46"/>
      <c r="H29" s="56" t="str">
        <f>IF(AND(C30&lt;0.15),"&lt;0.15",C30)</f>
        <v>&lt;0.15</v>
      </c>
      <c r="I29" s="57"/>
      <c r="J29" s="33" t="s">
        <v>52</v>
      </c>
    </row>
    <row r="30" spans="1:26" ht="15.75" customHeight="1">
      <c r="A30" s="34" t="s">
        <v>53</v>
      </c>
      <c r="B30" s="35"/>
      <c r="C30" s="58">
        <f>C29/1000</f>
        <v>9.1888999999999998E-2</v>
      </c>
      <c r="D30" s="59"/>
      <c r="E30" s="36"/>
      <c r="F30" s="35"/>
      <c r="G30" s="35"/>
      <c r="H30" s="35"/>
      <c r="I30" s="35"/>
      <c r="J30" s="33"/>
    </row>
    <row r="31" spans="1:26" ht="15.75" customHeight="1">
      <c r="A31" s="86" t="s">
        <v>57</v>
      </c>
      <c r="B31" s="66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7" t="s">
        <v>59</v>
      </c>
      <c r="C32" s="46"/>
      <c r="D32" s="46"/>
      <c r="E32" s="69"/>
      <c r="F32" s="1"/>
      <c r="G32" s="1"/>
      <c r="H32" s="1"/>
      <c r="I32" s="1"/>
      <c r="J32" s="16"/>
    </row>
    <row r="33" spans="1:26" ht="15.75" customHeight="1">
      <c r="A33" s="21"/>
      <c r="B33" s="46"/>
      <c r="C33" s="46"/>
      <c r="D33" s="46"/>
      <c r="E33" s="69"/>
      <c r="F33" s="22"/>
      <c r="G33" s="1"/>
      <c r="H33" s="1"/>
      <c r="I33" s="1"/>
      <c r="J33" s="16"/>
    </row>
    <row r="34" spans="1:26" ht="15.75" customHeight="1">
      <c r="A34" s="23"/>
      <c r="B34" s="87" t="s">
        <v>60</v>
      </c>
      <c r="C34" s="46"/>
      <c r="D34" s="46"/>
      <c r="E34" s="69"/>
      <c r="F34" s="1"/>
      <c r="G34" s="1"/>
      <c r="H34" s="1"/>
      <c r="I34" s="1"/>
      <c r="J34" s="16"/>
    </row>
    <row r="35" spans="1:26" ht="15.75" customHeight="1">
      <c r="A35" s="23"/>
      <c r="B35" s="46"/>
      <c r="C35" s="46"/>
      <c r="D35" s="46"/>
      <c r="E35" s="6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3.5" customHeight="1">
      <c r="A38" s="88" t="s">
        <v>61</v>
      </c>
      <c r="B38" s="66"/>
      <c r="C38" s="66"/>
      <c r="D38" s="66"/>
      <c r="E38" s="67"/>
      <c r="F38" s="24"/>
      <c r="G38" s="25"/>
      <c r="H38" s="25"/>
      <c r="I38" s="25"/>
      <c r="J38" s="17"/>
    </row>
    <row r="39" spans="1:26" ht="12.75" customHeight="1">
      <c r="A39" s="84"/>
      <c r="B39" s="85"/>
      <c r="C39" s="85"/>
      <c r="D39" s="85"/>
      <c r="E39" s="89"/>
      <c r="F39" s="39" t="s">
        <v>67</v>
      </c>
      <c r="G39" s="27"/>
      <c r="H39" s="27"/>
      <c r="I39" s="27"/>
      <c r="J39" s="28"/>
    </row>
    <row r="40" spans="1:26" ht="15.75" customHeight="1">
      <c r="A40" s="83" t="s">
        <v>62</v>
      </c>
      <c r="B40" s="66"/>
      <c r="C40" s="66"/>
      <c r="D40" s="66"/>
      <c r="E40" s="66"/>
      <c r="F40" s="29"/>
      <c r="G40" s="25"/>
      <c r="H40" s="25"/>
      <c r="I40" s="25"/>
      <c r="J40" s="16"/>
    </row>
    <row r="41" spans="1:26" ht="11.25" customHeight="1">
      <c r="A41" s="84"/>
      <c r="B41" s="85"/>
      <c r="C41" s="85"/>
      <c r="D41" s="85"/>
      <c r="E41" s="85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B34:E35"/>
    <mergeCell ref="A38:E39"/>
    <mergeCell ref="A40:E41"/>
    <mergeCell ref="A29:B29"/>
    <mergeCell ref="F29:G29"/>
    <mergeCell ref="H29:I29"/>
    <mergeCell ref="C30:D30"/>
    <mergeCell ref="A31:B31"/>
    <mergeCell ref="B32:E33"/>
    <mergeCell ref="A25:J25"/>
    <mergeCell ref="A26:B26"/>
    <mergeCell ref="F26:G26"/>
    <mergeCell ref="H26:I26"/>
    <mergeCell ref="C27:D27"/>
    <mergeCell ref="A28:J28"/>
    <mergeCell ref="C21:D21"/>
    <mergeCell ref="A22:J22"/>
    <mergeCell ref="A23:B23"/>
    <mergeCell ref="F23:G23"/>
    <mergeCell ref="H23:I23"/>
    <mergeCell ref="C24:D24"/>
    <mergeCell ref="F18:H18"/>
    <mergeCell ref="I18:J18"/>
    <mergeCell ref="A19:J19"/>
    <mergeCell ref="A20:B20"/>
    <mergeCell ref="F20:G20"/>
    <mergeCell ref="H20:I20"/>
    <mergeCell ref="A16:B16"/>
    <mergeCell ref="C16:E16"/>
    <mergeCell ref="F16:H16"/>
    <mergeCell ref="I16:J16"/>
    <mergeCell ref="F17:H17"/>
    <mergeCell ref="I17:J17"/>
    <mergeCell ref="F14:H14"/>
    <mergeCell ref="I14:J14"/>
    <mergeCell ref="A15:B15"/>
    <mergeCell ref="C15:D15"/>
    <mergeCell ref="F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5:J5"/>
    <mergeCell ref="A6:J6"/>
    <mergeCell ref="A7:B7"/>
    <mergeCell ref="C7:E7"/>
    <mergeCell ref="G7:J7"/>
    <mergeCell ref="A8:B8"/>
    <mergeCell ref="C8:D8"/>
    <mergeCell ref="I8:J8"/>
    <mergeCell ref="A1:J1"/>
    <mergeCell ref="A2:J2"/>
    <mergeCell ref="A3:C3"/>
    <mergeCell ref="D3:J3"/>
    <mergeCell ref="A4:C4"/>
    <mergeCell ref="D4:J4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Z579"/>
  <sheetViews>
    <sheetView view="pageLayout" zoomScale="112" zoomScaleNormal="100" zoomScalePageLayoutView="112" workbookViewId="0">
      <selection activeCell="D3" sqref="D3:J3"/>
    </sheetView>
  </sheetViews>
  <sheetFormatPr defaultColWidth="14.42578125" defaultRowHeight="15" customHeight="1"/>
  <cols>
    <col min="1" max="1" width="12.85546875" style="41" customWidth="1"/>
    <col min="2" max="2" width="8" style="41" customWidth="1"/>
    <col min="3" max="3" width="11.28515625" style="41" customWidth="1"/>
    <col min="4" max="4" width="6" style="41" customWidth="1"/>
    <col min="5" max="5" width="6.85546875" style="41" customWidth="1"/>
    <col min="6" max="6" width="12.140625" style="41" customWidth="1"/>
    <col min="7" max="7" width="10" style="41" customWidth="1"/>
    <col min="8" max="8" width="8.5703125" style="41" customWidth="1"/>
    <col min="9" max="9" width="4.5703125" style="41" customWidth="1"/>
    <col min="10" max="10" width="6.7109375" style="41" customWidth="1"/>
    <col min="11" max="11" width="8" style="41" customWidth="1"/>
    <col min="12" max="16384" width="14.42578125" style="41"/>
  </cols>
  <sheetData>
    <row r="1" spans="1:26">
      <c r="A1" s="70" t="s">
        <v>0</v>
      </c>
      <c r="B1" s="71"/>
      <c r="C1" s="71"/>
      <c r="D1" s="71"/>
      <c r="E1" s="71"/>
      <c r="F1" s="71"/>
      <c r="G1" s="71"/>
      <c r="H1" s="71"/>
      <c r="I1" s="71"/>
      <c r="J1" s="72"/>
    </row>
    <row r="2" spans="1:26">
      <c r="A2" s="70" t="s">
        <v>1</v>
      </c>
      <c r="B2" s="71"/>
      <c r="C2" s="71"/>
      <c r="D2" s="71"/>
      <c r="E2" s="71"/>
      <c r="F2" s="71"/>
      <c r="G2" s="71"/>
      <c r="H2" s="71"/>
      <c r="I2" s="71"/>
      <c r="J2" s="72"/>
    </row>
    <row r="3" spans="1:26">
      <c r="A3" s="73" t="s">
        <v>2</v>
      </c>
      <c r="B3" s="71"/>
      <c r="C3" s="72"/>
      <c r="D3" s="94">
        <v>2024070251</v>
      </c>
      <c r="E3" s="95"/>
      <c r="F3" s="95"/>
      <c r="G3" s="95"/>
      <c r="H3" s="95"/>
      <c r="I3" s="95"/>
      <c r="J3" s="96"/>
    </row>
    <row r="4" spans="1:26">
      <c r="A4" s="73" t="s">
        <v>3</v>
      </c>
      <c r="B4" s="71"/>
      <c r="C4" s="72"/>
      <c r="D4" s="94">
        <v>80824</v>
      </c>
      <c r="E4" s="95"/>
      <c r="F4" s="95"/>
      <c r="G4" s="95"/>
      <c r="H4" s="95"/>
      <c r="I4" s="95"/>
      <c r="J4" s="96"/>
    </row>
    <row r="5" spans="1:26" ht="15" customHeight="1">
      <c r="A5" s="74" t="s">
        <v>4</v>
      </c>
      <c r="B5" s="71"/>
      <c r="C5" s="71"/>
      <c r="D5" s="71"/>
      <c r="E5" s="71"/>
      <c r="F5" s="71"/>
      <c r="G5" s="71"/>
      <c r="H5" s="71"/>
      <c r="I5" s="71"/>
      <c r="J5" s="7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4" t="s">
        <v>5</v>
      </c>
      <c r="B6" s="71"/>
      <c r="C6" s="71"/>
      <c r="D6" s="71"/>
      <c r="E6" s="71"/>
      <c r="F6" s="71"/>
      <c r="G6" s="71"/>
      <c r="H6" s="71"/>
      <c r="I6" s="71"/>
      <c r="J6" s="72"/>
    </row>
    <row r="7" spans="1:26" ht="30" customHeight="1">
      <c r="A7" s="75" t="s">
        <v>6</v>
      </c>
      <c r="B7" s="66"/>
      <c r="C7" s="76" t="s">
        <v>7</v>
      </c>
      <c r="D7" s="66"/>
      <c r="E7" s="66"/>
      <c r="F7" s="44" t="s">
        <v>8</v>
      </c>
      <c r="G7" s="65" t="s">
        <v>9</v>
      </c>
      <c r="H7" s="66"/>
      <c r="I7" s="66"/>
      <c r="J7" s="67"/>
    </row>
    <row r="8" spans="1:26" ht="15" customHeight="1">
      <c r="A8" s="77" t="s">
        <v>10</v>
      </c>
      <c r="B8" s="46"/>
      <c r="C8" s="78" t="s">
        <v>11</v>
      </c>
      <c r="D8" s="46"/>
      <c r="E8" s="4"/>
      <c r="F8" s="40" t="s">
        <v>12</v>
      </c>
      <c r="G8" s="6" t="s">
        <v>13</v>
      </c>
      <c r="H8" s="6" t="s">
        <v>14</v>
      </c>
      <c r="I8" s="68"/>
      <c r="J8" s="69"/>
    </row>
    <row r="9" spans="1:26" ht="30" customHeight="1">
      <c r="A9" s="77" t="s">
        <v>15</v>
      </c>
      <c r="B9" s="46"/>
      <c r="C9" s="78" t="s">
        <v>16</v>
      </c>
      <c r="D9" s="46"/>
      <c r="E9" s="7"/>
      <c r="F9" s="44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7" t="s">
        <v>20</v>
      </c>
      <c r="B10" s="46"/>
      <c r="C10" s="78" t="s">
        <v>21</v>
      </c>
      <c r="D10" s="46"/>
      <c r="E10" s="7"/>
      <c r="F10" s="44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7" t="s">
        <v>25</v>
      </c>
      <c r="B11" s="46"/>
      <c r="C11" s="78" t="s">
        <v>26</v>
      </c>
      <c r="D11" s="46"/>
      <c r="E11" s="7"/>
      <c r="F11" s="44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7" t="s">
        <v>30</v>
      </c>
      <c r="B12" s="46"/>
      <c r="C12" s="78" t="s">
        <v>31</v>
      </c>
      <c r="D12" s="46"/>
      <c r="E12" s="7"/>
      <c r="F12" s="44" t="s">
        <v>32</v>
      </c>
      <c r="G12" s="8" t="s">
        <v>33</v>
      </c>
      <c r="H12" s="8" t="s">
        <v>34</v>
      </c>
      <c r="I12" s="9"/>
      <c r="J12" s="10"/>
    </row>
    <row r="13" spans="1:26" ht="30">
      <c r="A13" s="77" t="s">
        <v>35</v>
      </c>
      <c r="B13" s="46"/>
      <c r="C13" s="78" t="s">
        <v>36</v>
      </c>
      <c r="D13" s="46"/>
      <c r="E13" s="7"/>
      <c r="F13" s="44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7" t="s">
        <v>40</v>
      </c>
      <c r="B14" s="46"/>
      <c r="C14" s="78" t="s">
        <v>41</v>
      </c>
      <c r="D14" s="46"/>
      <c r="E14" s="7"/>
      <c r="F14" s="79" t="s">
        <v>42</v>
      </c>
      <c r="G14" s="46"/>
      <c r="H14" s="46"/>
      <c r="I14" s="80" t="s">
        <v>43</v>
      </c>
      <c r="J14" s="69"/>
    </row>
    <row r="15" spans="1:26" ht="15" customHeight="1">
      <c r="A15" s="77" t="s">
        <v>44</v>
      </c>
      <c r="B15" s="46"/>
      <c r="C15" s="78" t="s">
        <v>45</v>
      </c>
      <c r="D15" s="46"/>
      <c r="E15" s="7"/>
      <c r="F15" s="81" t="s">
        <v>64</v>
      </c>
      <c r="G15" s="46"/>
      <c r="H15" s="46"/>
      <c r="I15" s="47">
        <v>45808</v>
      </c>
      <c r="J15" s="48"/>
    </row>
    <row r="16" spans="1:26" ht="15" customHeight="1">
      <c r="A16" s="77" t="s">
        <v>46</v>
      </c>
      <c r="B16" s="46"/>
      <c r="C16" s="82" t="s">
        <v>47</v>
      </c>
      <c r="D16" s="46"/>
      <c r="E16" s="46"/>
      <c r="F16" s="45" t="s">
        <v>65</v>
      </c>
      <c r="G16" s="46"/>
      <c r="H16" s="46"/>
      <c r="I16" s="47">
        <v>45716</v>
      </c>
      <c r="J16" s="48"/>
    </row>
    <row r="17" spans="1:26">
      <c r="A17" s="42"/>
      <c r="B17" s="44"/>
      <c r="C17" s="43"/>
      <c r="D17" s="43"/>
      <c r="E17" s="43"/>
      <c r="F17" s="45" t="s">
        <v>66</v>
      </c>
      <c r="G17" s="46"/>
      <c r="H17" s="46"/>
      <c r="I17" s="47">
        <v>45688</v>
      </c>
      <c r="J17" s="4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9" t="s">
        <v>63</v>
      </c>
      <c r="G18" s="50"/>
      <c r="H18" s="50"/>
      <c r="I18" s="51">
        <v>46142</v>
      </c>
      <c r="J18" s="52"/>
    </row>
    <row r="19" spans="1:26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>
      <c r="A20" s="53" t="s">
        <v>49</v>
      </c>
      <c r="B20" s="54"/>
      <c r="C20" s="90">
        <v>80.78</v>
      </c>
      <c r="D20" s="31" t="s">
        <v>50</v>
      </c>
      <c r="E20" s="32">
        <v>1000</v>
      </c>
      <c r="F20" s="55" t="s">
        <v>51</v>
      </c>
      <c r="G20" s="54"/>
      <c r="H20" s="56" t="str">
        <f>IF(AND(C21&lt;0.15),"&lt;0.15",C21)</f>
        <v>&lt;0.15</v>
      </c>
      <c r="I20" s="57"/>
      <c r="J20" s="33" t="s">
        <v>52</v>
      </c>
    </row>
    <row r="21" spans="1:26" ht="15.75" customHeight="1">
      <c r="A21" s="34" t="s">
        <v>53</v>
      </c>
      <c r="B21" s="35"/>
      <c r="C21" s="58">
        <f>C20/1000</f>
        <v>8.0780000000000005E-2</v>
      </c>
      <c r="D21" s="59"/>
      <c r="E21" s="36"/>
      <c r="F21" s="35"/>
      <c r="G21" s="35"/>
      <c r="H21" s="35"/>
      <c r="I21" s="35"/>
      <c r="J21" s="33"/>
    </row>
    <row r="22" spans="1:26" ht="15.75" customHeight="1">
      <c r="A22" s="91" t="s">
        <v>56</v>
      </c>
      <c r="B22" s="92"/>
      <c r="C22" s="92"/>
      <c r="D22" s="92"/>
      <c r="E22" s="92"/>
      <c r="F22" s="92"/>
      <c r="G22" s="92"/>
      <c r="H22" s="92"/>
      <c r="I22" s="92"/>
      <c r="J22" s="9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3" t="s">
        <v>49</v>
      </c>
      <c r="B23" s="54"/>
      <c r="C23" s="90">
        <v>12.641</v>
      </c>
      <c r="D23" s="31" t="s">
        <v>50</v>
      </c>
      <c r="E23" s="37">
        <v>1000</v>
      </c>
      <c r="F23" s="55" t="s">
        <v>51</v>
      </c>
      <c r="G23" s="54"/>
      <c r="H23" s="56" t="str">
        <f>IF(C24&lt;0.15,"&lt;0.15",C24)</f>
        <v>&lt;0.15</v>
      </c>
      <c r="I23" s="57"/>
      <c r="J23" s="33" t="s">
        <v>52</v>
      </c>
    </row>
    <row r="24" spans="1:26" ht="15.75" customHeight="1">
      <c r="A24" s="34" t="s">
        <v>53</v>
      </c>
      <c r="B24" s="35"/>
      <c r="C24" s="58">
        <f>C23/1000</f>
        <v>1.2640999999999999E-2</v>
      </c>
      <c r="D24" s="59"/>
      <c r="E24" s="36"/>
      <c r="F24" s="35"/>
      <c r="G24" s="35"/>
      <c r="H24" s="35"/>
      <c r="I24" s="35"/>
      <c r="J24" s="33"/>
    </row>
    <row r="25" spans="1:26" ht="15.75" customHeight="1">
      <c r="A25" s="91" t="s">
        <v>54</v>
      </c>
      <c r="B25" s="92"/>
      <c r="C25" s="92"/>
      <c r="D25" s="92"/>
      <c r="E25" s="92"/>
      <c r="F25" s="92"/>
      <c r="G25" s="92"/>
      <c r="H25" s="92"/>
      <c r="I25" s="92"/>
      <c r="J25" s="9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0" t="s">
        <v>49</v>
      </c>
      <c r="B26" s="46"/>
      <c r="C26" s="90">
        <v>6.194</v>
      </c>
      <c r="D26" s="31" t="s">
        <v>50</v>
      </c>
      <c r="E26" s="37">
        <v>1000</v>
      </c>
      <c r="F26" s="61" t="s">
        <v>51</v>
      </c>
      <c r="G26" s="54"/>
      <c r="H26" s="56" t="str">
        <f>IF(AND(C27&lt;0.15),"&lt;0.15",C27)</f>
        <v>&lt;0.15</v>
      </c>
      <c r="I26" s="57"/>
      <c r="J26" s="38" t="s">
        <v>52</v>
      </c>
    </row>
    <row r="27" spans="1:26" ht="15.75" customHeight="1">
      <c r="A27" s="34" t="s">
        <v>53</v>
      </c>
      <c r="B27" s="35"/>
      <c r="C27" s="62">
        <f>C26/1000</f>
        <v>6.1939999999999999E-3</v>
      </c>
      <c r="D27" s="63"/>
      <c r="E27" s="36"/>
      <c r="F27" s="35"/>
      <c r="G27" s="35"/>
      <c r="H27" s="35"/>
      <c r="I27" s="35"/>
      <c r="J27" s="33"/>
    </row>
    <row r="28" spans="1:26" ht="15.75" customHeight="1">
      <c r="A28" s="91" t="s">
        <v>55</v>
      </c>
      <c r="B28" s="92"/>
      <c r="C28" s="92"/>
      <c r="D28" s="92"/>
      <c r="E28" s="92"/>
      <c r="F28" s="92"/>
      <c r="G28" s="92"/>
      <c r="H28" s="92"/>
      <c r="I28" s="92"/>
      <c r="J28" s="9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0" t="s">
        <v>49</v>
      </c>
      <c r="B29" s="46"/>
      <c r="C29" s="90">
        <v>134.345</v>
      </c>
      <c r="D29" s="31" t="s">
        <v>50</v>
      </c>
      <c r="E29" s="37">
        <v>1000</v>
      </c>
      <c r="F29" s="64" t="s">
        <v>51</v>
      </c>
      <c r="G29" s="46"/>
      <c r="H29" s="56" t="str">
        <f>IF(AND(C30&lt;0.15),"&lt;0.15",C30)</f>
        <v>&lt;0.15</v>
      </c>
      <c r="I29" s="57"/>
      <c r="J29" s="33" t="s">
        <v>52</v>
      </c>
    </row>
    <row r="30" spans="1:26" ht="15.75" customHeight="1">
      <c r="A30" s="34" t="s">
        <v>53</v>
      </c>
      <c r="B30" s="35"/>
      <c r="C30" s="58">
        <f>C29/1000</f>
        <v>0.13434499999999999</v>
      </c>
      <c r="D30" s="59"/>
      <c r="E30" s="36"/>
      <c r="F30" s="35"/>
      <c r="G30" s="35"/>
      <c r="H30" s="35"/>
      <c r="I30" s="35"/>
      <c r="J30" s="33"/>
    </row>
    <row r="31" spans="1:26" ht="15.75" customHeight="1">
      <c r="A31" s="86" t="s">
        <v>57</v>
      </c>
      <c r="B31" s="66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7" t="s">
        <v>59</v>
      </c>
      <c r="C32" s="46"/>
      <c r="D32" s="46"/>
      <c r="E32" s="69"/>
      <c r="F32" s="1"/>
      <c r="G32" s="1"/>
      <c r="H32" s="1"/>
      <c r="I32" s="1"/>
      <c r="J32" s="16"/>
    </row>
    <row r="33" spans="1:26" ht="15.75" customHeight="1">
      <c r="A33" s="21"/>
      <c r="B33" s="46"/>
      <c r="C33" s="46"/>
      <c r="D33" s="46"/>
      <c r="E33" s="69"/>
      <c r="F33" s="22"/>
      <c r="G33" s="1"/>
      <c r="H33" s="1"/>
      <c r="I33" s="1"/>
      <c r="J33" s="16"/>
    </row>
    <row r="34" spans="1:26" ht="15.75" customHeight="1">
      <c r="A34" s="23"/>
      <c r="B34" s="87" t="s">
        <v>60</v>
      </c>
      <c r="C34" s="46"/>
      <c r="D34" s="46"/>
      <c r="E34" s="69"/>
      <c r="F34" s="1"/>
      <c r="G34" s="1"/>
      <c r="H34" s="1"/>
      <c r="I34" s="1"/>
      <c r="J34" s="16"/>
    </row>
    <row r="35" spans="1:26" ht="15.75" customHeight="1">
      <c r="A35" s="23"/>
      <c r="B35" s="46"/>
      <c r="C35" s="46"/>
      <c r="D35" s="46"/>
      <c r="E35" s="6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3.5" customHeight="1">
      <c r="A38" s="88" t="s">
        <v>61</v>
      </c>
      <c r="B38" s="66"/>
      <c r="C38" s="66"/>
      <c r="D38" s="66"/>
      <c r="E38" s="67"/>
      <c r="F38" s="24"/>
      <c r="G38" s="25"/>
      <c r="H38" s="25"/>
      <c r="I38" s="25"/>
      <c r="J38" s="17"/>
    </row>
    <row r="39" spans="1:26" ht="12.75" customHeight="1">
      <c r="A39" s="84"/>
      <c r="B39" s="85"/>
      <c r="C39" s="85"/>
      <c r="D39" s="85"/>
      <c r="E39" s="89"/>
      <c r="F39" s="39" t="s">
        <v>67</v>
      </c>
      <c r="G39" s="27"/>
      <c r="H39" s="27"/>
      <c r="I39" s="27"/>
      <c r="J39" s="28"/>
    </row>
    <row r="40" spans="1:26" ht="15.75" customHeight="1">
      <c r="A40" s="83" t="s">
        <v>62</v>
      </c>
      <c r="B40" s="66"/>
      <c r="C40" s="66"/>
      <c r="D40" s="66"/>
      <c r="E40" s="66"/>
      <c r="F40" s="29"/>
      <c r="G40" s="25"/>
      <c r="H40" s="25"/>
      <c r="I40" s="25"/>
      <c r="J40" s="16"/>
    </row>
    <row r="41" spans="1:26" ht="11.25" customHeight="1">
      <c r="A41" s="84"/>
      <c r="B41" s="85"/>
      <c r="C41" s="85"/>
      <c r="D41" s="85"/>
      <c r="E41" s="85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B34:E35"/>
    <mergeCell ref="A38:E39"/>
    <mergeCell ref="A40:E41"/>
    <mergeCell ref="A29:B29"/>
    <mergeCell ref="F29:G29"/>
    <mergeCell ref="H29:I29"/>
    <mergeCell ref="C30:D30"/>
    <mergeCell ref="A31:B31"/>
    <mergeCell ref="B32:E33"/>
    <mergeCell ref="A25:J25"/>
    <mergeCell ref="A26:B26"/>
    <mergeCell ref="F26:G26"/>
    <mergeCell ref="H26:I26"/>
    <mergeCell ref="C27:D27"/>
    <mergeCell ref="A28:J28"/>
    <mergeCell ref="C21:D21"/>
    <mergeCell ref="A22:J22"/>
    <mergeCell ref="A23:B23"/>
    <mergeCell ref="F23:G23"/>
    <mergeCell ref="H23:I23"/>
    <mergeCell ref="C24:D24"/>
    <mergeCell ref="F18:H18"/>
    <mergeCell ref="I18:J18"/>
    <mergeCell ref="A19:J19"/>
    <mergeCell ref="A20:B20"/>
    <mergeCell ref="F20:G20"/>
    <mergeCell ref="H20:I20"/>
    <mergeCell ref="A16:B16"/>
    <mergeCell ref="C16:E16"/>
    <mergeCell ref="F16:H16"/>
    <mergeCell ref="I16:J16"/>
    <mergeCell ref="F17:H17"/>
    <mergeCell ref="I17:J17"/>
    <mergeCell ref="F14:H14"/>
    <mergeCell ref="I14:J14"/>
    <mergeCell ref="A15:B15"/>
    <mergeCell ref="C15:D15"/>
    <mergeCell ref="F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5:J5"/>
    <mergeCell ref="A6:J6"/>
    <mergeCell ref="A7:B7"/>
    <mergeCell ref="C7:E7"/>
    <mergeCell ref="G7:J7"/>
    <mergeCell ref="A8:B8"/>
    <mergeCell ref="C8:D8"/>
    <mergeCell ref="I8:J8"/>
    <mergeCell ref="A1:J1"/>
    <mergeCell ref="A2:J2"/>
    <mergeCell ref="A3:C3"/>
    <mergeCell ref="D3:J3"/>
    <mergeCell ref="A4:C4"/>
    <mergeCell ref="D4:J4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Z579"/>
  <sheetViews>
    <sheetView view="pageLayout" zoomScale="112" zoomScaleNormal="100" zoomScalePageLayoutView="112" workbookViewId="0">
      <selection activeCell="B32" sqref="B32:E33"/>
    </sheetView>
  </sheetViews>
  <sheetFormatPr defaultColWidth="14.42578125" defaultRowHeight="15" customHeight="1"/>
  <cols>
    <col min="1" max="1" width="12.85546875" style="41" customWidth="1"/>
    <col min="2" max="2" width="8" style="41" customWidth="1"/>
    <col min="3" max="3" width="11.28515625" style="41" customWidth="1"/>
    <col min="4" max="4" width="6" style="41" customWidth="1"/>
    <col min="5" max="5" width="6.85546875" style="41" customWidth="1"/>
    <col min="6" max="6" width="12.140625" style="41" customWidth="1"/>
    <col min="7" max="7" width="10" style="41" customWidth="1"/>
    <col min="8" max="8" width="8.5703125" style="41" customWidth="1"/>
    <col min="9" max="9" width="4.5703125" style="41" customWidth="1"/>
    <col min="10" max="10" width="6.7109375" style="41" customWidth="1"/>
    <col min="11" max="11" width="8" style="41" customWidth="1"/>
    <col min="12" max="16384" width="14.42578125" style="41"/>
  </cols>
  <sheetData>
    <row r="1" spans="1:26">
      <c r="A1" s="70" t="s">
        <v>0</v>
      </c>
      <c r="B1" s="71"/>
      <c r="C1" s="71"/>
      <c r="D1" s="71"/>
      <c r="E1" s="71"/>
      <c r="F1" s="71"/>
      <c r="G1" s="71"/>
      <c r="H1" s="71"/>
      <c r="I1" s="71"/>
      <c r="J1" s="72"/>
    </row>
    <row r="2" spans="1:26">
      <c r="A2" s="70" t="s">
        <v>1</v>
      </c>
      <c r="B2" s="71"/>
      <c r="C2" s="71"/>
      <c r="D2" s="71"/>
      <c r="E2" s="71"/>
      <c r="F2" s="71"/>
      <c r="G2" s="71"/>
      <c r="H2" s="71"/>
      <c r="I2" s="71"/>
      <c r="J2" s="72"/>
    </row>
    <row r="3" spans="1:26">
      <c r="A3" s="73" t="s">
        <v>2</v>
      </c>
      <c r="B3" s="71"/>
      <c r="C3" s="72"/>
      <c r="D3" s="94">
        <v>2024070200</v>
      </c>
      <c r="E3" s="95"/>
      <c r="F3" s="95"/>
      <c r="G3" s="95"/>
      <c r="H3" s="95"/>
      <c r="I3" s="95"/>
      <c r="J3" s="96"/>
    </row>
    <row r="4" spans="1:26">
      <c r="A4" s="73" t="s">
        <v>3</v>
      </c>
      <c r="B4" s="71"/>
      <c r="C4" s="72"/>
      <c r="D4" s="94">
        <v>80824</v>
      </c>
      <c r="E4" s="95"/>
      <c r="F4" s="95"/>
      <c r="G4" s="95"/>
      <c r="H4" s="95"/>
      <c r="I4" s="95"/>
      <c r="J4" s="96"/>
    </row>
    <row r="5" spans="1:26" ht="15" customHeight="1">
      <c r="A5" s="74" t="s">
        <v>4</v>
      </c>
      <c r="B5" s="71"/>
      <c r="C5" s="71"/>
      <c r="D5" s="71"/>
      <c r="E5" s="71"/>
      <c r="F5" s="71"/>
      <c r="G5" s="71"/>
      <c r="H5" s="71"/>
      <c r="I5" s="71"/>
      <c r="J5" s="7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4" t="s">
        <v>5</v>
      </c>
      <c r="B6" s="71"/>
      <c r="C6" s="71"/>
      <c r="D6" s="71"/>
      <c r="E6" s="71"/>
      <c r="F6" s="71"/>
      <c r="G6" s="71"/>
      <c r="H6" s="71"/>
      <c r="I6" s="71"/>
      <c r="J6" s="72"/>
    </row>
    <row r="7" spans="1:26" ht="30" customHeight="1">
      <c r="A7" s="75" t="s">
        <v>6</v>
      </c>
      <c r="B7" s="66"/>
      <c r="C7" s="76" t="s">
        <v>7</v>
      </c>
      <c r="D7" s="66"/>
      <c r="E7" s="66"/>
      <c r="F7" s="44" t="s">
        <v>8</v>
      </c>
      <c r="G7" s="65" t="s">
        <v>9</v>
      </c>
      <c r="H7" s="66"/>
      <c r="I7" s="66"/>
      <c r="J7" s="67"/>
    </row>
    <row r="8" spans="1:26" ht="15" customHeight="1">
      <c r="A8" s="77" t="s">
        <v>10</v>
      </c>
      <c r="B8" s="46"/>
      <c r="C8" s="78" t="s">
        <v>11</v>
      </c>
      <c r="D8" s="46"/>
      <c r="E8" s="4"/>
      <c r="F8" s="40" t="s">
        <v>12</v>
      </c>
      <c r="G8" s="6" t="s">
        <v>13</v>
      </c>
      <c r="H8" s="6" t="s">
        <v>14</v>
      </c>
      <c r="I8" s="68"/>
      <c r="J8" s="69"/>
    </row>
    <row r="9" spans="1:26" ht="30" customHeight="1">
      <c r="A9" s="77" t="s">
        <v>15</v>
      </c>
      <c r="B9" s="46"/>
      <c r="C9" s="78" t="s">
        <v>16</v>
      </c>
      <c r="D9" s="46"/>
      <c r="E9" s="7"/>
      <c r="F9" s="44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7" t="s">
        <v>20</v>
      </c>
      <c r="B10" s="46"/>
      <c r="C10" s="78" t="s">
        <v>21</v>
      </c>
      <c r="D10" s="46"/>
      <c r="E10" s="7"/>
      <c r="F10" s="44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7" t="s">
        <v>25</v>
      </c>
      <c r="B11" s="46"/>
      <c r="C11" s="78" t="s">
        <v>26</v>
      </c>
      <c r="D11" s="46"/>
      <c r="E11" s="7"/>
      <c r="F11" s="44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7" t="s">
        <v>30</v>
      </c>
      <c r="B12" s="46"/>
      <c r="C12" s="78" t="s">
        <v>31</v>
      </c>
      <c r="D12" s="46"/>
      <c r="E12" s="7"/>
      <c r="F12" s="44" t="s">
        <v>32</v>
      </c>
      <c r="G12" s="8" t="s">
        <v>33</v>
      </c>
      <c r="H12" s="8" t="s">
        <v>34</v>
      </c>
      <c r="I12" s="9"/>
      <c r="J12" s="10"/>
    </row>
    <row r="13" spans="1:26" ht="30">
      <c r="A13" s="77" t="s">
        <v>35</v>
      </c>
      <c r="B13" s="46"/>
      <c r="C13" s="78" t="s">
        <v>36</v>
      </c>
      <c r="D13" s="46"/>
      <c r="E13" s="7"/>
      <c r="F13" s="44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7" t="s">
        <v>40</v>
      </c>
      <c r="B14" s="46"/>
      <c r="C14" s="78" t="s">
        <v>41</v>
      </c>
      <c r="D14" s="46"/>
      <c r="E14" s="7"/>
      <c r="F14" s="79" t="s">
        <v>42</v>
      </c>
      <c r="G14" s="46"/>
      <c r="H14" s="46"/>
      <c r="I14" s="80" t="s">
        <v>43</v>
      </c>
      <c r="J14" s="69"/>
    </row>
    <row r="15" spans="1:26" ht="15" customHeight="1">
      <c r="A15" s="77" t="s">
        <v>44</v>
      </c>
      <c r="B15" s="46"/>
      <c r="C15" s="78" t="s">
        <v>45</v>
      </c>
      <c r="D15" s="46"/>
      <c r="E15" s="7"/>
      <c r="F15" s="81" t="s">
        <v>64</v>
      </c>
      <c r="G15" s="46"/>
      <c r="H15" s="46"/>
      <c r="I15" s="47">
        <v>45808</v>
      </c>
      <c r="J15" s="48"/>
    </row>
    <row r="16" spans="1:26" ht="15" customHeight="1">
      <c r="A16" s="77" t="s">
        <v>46</v>
      </c>
      <c r="B16" s="46"/>
      <c r="C16" s="82" t="s">
        <v>47</v>
      </c>
      <c r="D16" s="46"/>
      <c r="E16" s="46"/>
      <c r="F16" s="45" t="s">
        <v>65</v>
      </c>
      <c r="G16" s="46"/>
      <c r="H16" s="46"/>
      <c r="I16" s="47">
        <v>45716</v>
      </c>
      <c r="J16" s="48"/>
    </row>
    <row r="17" spans="1:26">
      <c r="A17" s="42"/>
      <c r="B17" s="44"/>
      <c r="C17" s="43"/>
      <c r="D17" s="43"/>
      <c r="E17" s="43"/>
      <c r="F17" s="45" t="s">
        <v>66</v>
      </c>
      <c r="G17" s="46"/>
      <c r="H17" s="46"/>
      <c r="I17" s="47">
        <v>45688</v>
      </c>
      <c r="J17" s="4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9" t="s">
        <v>63</v>
      </c>
      <c r="G18" s="50"/>
      <c r="H18" s="50"/>
      <c r="I18" s="51">
        <v>46142</v>
      </c>
      <c r="J18" s="52"/>
    </row>
    <row r="19" spans="1:26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>
      <c r="A20" s="53" t="s">
        <v>49</v>
      </c>
      <c r="B20" s="54"/>
      <c r="C20" s="90">
        <v>3.4020000000000001</v>
      </c>
      <c r="D20" s="31" t="s">
        <v>50</v>
      </c>
      <c r="E20" s="32">
        <v>1000</v>
      </c>
      <c r="F20" s="55" t="s">
        <v>51</v>
      </c>
      <c r="G20" s="54"/>
      <c r="H20" s="56" t="str">
        <f>IF(AND(C21&lt;0.15),"&lt;0.15",C21)</f>
        <v>&lt;0.15</v>
      </c>
      <c r="I20" s="57"/>
      <c r="J20" s="33" t="s">
        <v>52</v>
      </c>
    </row>
    <row r="21" spans="1:26" ht="15.75" customHeight="1">
      <c r="A21" s="34" t="s">
        <v>53</v>
      </c>
      <c r="B21" s="35"/>
      <c r="C21" s="58">
        <f>C20/1000</f>
        <v>3.4020000000000001E-3</v>
      </c>
      <c r="D21" s="59"/>
      <c r="E21" s="36"/>
      <c r="F21" s="35"/>
      <c r="G21" s="35"/>
      <c r="H21" s="35"/>
      <c r="I21" s="35"/>
      <c r="J21" s="33"/>
    </row>
    <row r="22" spans="1:26" ht="15.75" customHeight="1">
      <c r="A22" s="91" t="s">
        <v>56</v>
      </c>
      <c r="B22" s="92"/>
      <c r="C22" s="92"/>
      <c r="D22" s="92"/>
      <c r="E22" s="92"/>
      <c r="F22" s="92"/>
      <c r="G22" s="92"/>
      <c r="H22" s="92"/>
      <c r="I22" s="92"/>
      <c r="J22" s="9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3" t="s">
        <v>49</v>
      </c>
      <c r="B23" s="54"/>
      <c r="C23" s="90">
        <v>4.444</v>
      </c>
      <c r="D23" s="31" t="s">
        <v>50</v>
      </c>
      <c r="E23" s="37">
        <v>1000</v>
      </c>
      <c r="F23" s="55" t="s">
        <v>51</v>
      </c>
      <c r="G23" s="54"/>
      <c r="H23" s="56" t="str">
        <f>IF(C24&lt;0.15,"&lt;0.15",C24)</f>
        <v>&lt;0.15</v>
      </c>
      <c r="I23" s="57"/>
      <c r="J23" s="33" t="s">
        <v>52</v>
      </c>
    </row>
    <row r="24" spans="1:26" ht="15.75" customHeight="1">
      <c r="A24" s="34" t="s">
        <v>53</v>
      </c>
      <c r="B24" s="35"/>
      <c r="C24" s="58">
        <f>C23/1000</f>
        <v>4.444E-3</v>
      </c>
      <c r="D24" s="59"/>
      <c r="E24" s="36"/>
      <c r="F24" s="35"/>
      <c r="G24" s="35"/>
      <c r="H24" s="35"/>
      <c r="I24" s="35"/>
      <c r="J24" s="33"/>
    </row>
    <row r="25" spans="1:26" ht="15.75" customHeight="1">
      <c r="A25" s="91" t="s">
        <v>54</v>
      </c>
      <c r="B25" s="92"/>
      <c r="C25" s="92"/>
      <c r="D25" s="92"/>
      <c r="E25" s="92"/>
      <c r="F25" s="92"/>
      <c r="G25" s="92"/>
      <c r="H25" s="92"/>
      <c r="I25" s="92"/>
      <c r="J25" s="9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0" t="s">
        <v>49</v>
      </c>
      <c r="B26" s="46"/>
      <c r="C26" s="90">
        <v>1.3380000000000001</v>
      </c>
      <c r="D26" s="31" t="s">
        <v>50</v>
      </c>
      <c r="E26" s="37">
        <v>1000</v>
      </c>
      <c r="F26" s="61" t="s">
        <v>51</v>
      </c>
      <c r="G26" s="54"/>
      <c r="H26" s="56" t="str">
        <f>IF(AND(C27&lt;0.15),"&lt;0.15",C27)</f>
        <v>&lt;0.15</v>
      </c>
      <c r="I26" s="57"/>
      <c r="J26" s="38" t="s">
        <v>52</v>
      </c>
    </row>
    <row r="27" spans="1:26" ht="15.75" customHeight="1">
      <c r="A27" s="34" t="s">
        <v>53</v>
      </c>
      <c r="B27" s="35"/>
      <c r="C27" s="62">
        <f>C26/1000</f>
        <v>1.338E-3</v>
      </c>
      <c r="D27" s="63"/>
      <c r="E27" s="36"/>
      <c r="F27" s="35"/>
      <c r="G27" s="35"/>
      <c r="H27" s="35"/>
      <c r="I27" s="35"/>
      <c r="J27" s="33"/>
    </row>
    <row r="28" spans="1:26" ht="15.75" customHeight="1">
      <c r="A28" s="91" t="s">
        <v>55</v>
      </c>
      <c r="B28" s="92"/>
      <c r="C28" s="92"/>
      <c r="D28" s="92"/>
      <c r="E28" s="92"/>
      <c r="F28" s="92"/>
      <c r="G28" s="92"/>
      <c r="H28" s="92"/>
      <c r="I28" s="92"/>
      <c r="J28" s="9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0" t="s">
        <v>49</v>
      </c>
      <c r="B29" s="46"/>
      <c r="C29" s="90">
        <v>68.52</v>
      </c>
      <c r="D29" s="31" t="s">
        <v>50</v>
      </c>
      <c r="E29" s="37">
        <v>1000</v>
      </c>
      <c r="F29" s="64" t="s">
        <v>51</v>
      </c>
      <c r="G29" s="46"/>
      <c r="H29" s="56" t="str">
        <f>IF(AND(C30&lt;0.15),"&lt;0.15",C30)</f>
        <v>&lt;0.15</v>
      </c>
      <c r="I29" s="57"/>
      <c r="J29" s="33" t="s">
        <v>52</v>
      </c>
    </row>
    <row r="30" spans="1:26" ht="15.75" customHeight="1">
      <c r="A30" s="34" t="s">
        <v>53</v>
      </c>
      <c r="B30" s="35"/>
      <c r="C30" s="58">
        <f>C29/1000</f>
        <v>6.8519999999999998E-2</v>
      </c>
      <c r="D30" s="59"/>
      <c r="E30" s="36"/>
      <c r="F30" s="35"/>
      <c r="G30" s="35"/>
      <c r="H30" s="35"/>
      <c r="I30" s="35"/>
      <c r="J30" s="33"/>
    </row>
    <row r="31" spans="1:26" ht="15.75" customHeight="1">
      <c r="A31" s="86" t="s">
        <v>57</v>
      </c>
      <c r="B31" s="66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7" t="s">
        <v>59</v>
      </c>
      <c r="C32" s="46"/>
      <c r="D32" s="46"/>
      <c r="E32" s="69"/>
      <c r="F32" s="1"/>
      <c r="G32" s="1"/>
      <c r="H32" s="1"/>
      <c r="I32" s="1"/>
      <c r="J32" s="16"/>
    </row>
    <row r="33" spans="1:26" ht="15.75" customHeight="1">
      <c r="A33" s="21"/>
      <c r="B33" s="46"/>
      <c r="C33" s="46"/>
      <c r="D33" s="46"/>
      <c r="E33" s="69"/>
      <c r="F33" s="22"/>
      <c r="G33" s="1"/>
      <c r="H33" s="1"/>
      <c r="I33" s="1"/>
      <c r="J33" s="16"/>
    </row>
    <row r="34" spans="1:26" ht="15.75" customHeight="1">
      <c r="A34" s="23"/>
      <c r="B34" s="87" t="s">
        <v>60</v>
      </c>
      <c r="C34" s="46"/>
      <c r="D34" s="46"/>
      <c r="E34" s="69"/>
      <c r="F34" s="1"/>
      <c r="G34" s="1"/>
      <c r="H34" s="1"/>
      <c r="I34" s="1"/>
      <c r="J34" s="16"/>
    </row>
    <row r="35" spans="1:26" ht="15.75" customHeight="1">
      <c r="A35" s="23"/>
      <c r="B35" s="46"/>
      <c r="C35" s="46"/>
      <c r="D35" s="46"/>
      <c r="E35" s="6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3.5" customHeight="1">
      <c r="A38" s="88" t="s">
        <v>61</v>
      </c>
      <c r="B38" s="66"/>
      <c r="C38" s="66"/>
      <c r="D38" s="66"/>
      <c r="E38" s="67"/>
      <c r="F38" s="24"/>
      <c r="G38" s="25"/>
      <c r="H38" s="25"/>
      <c r="I38" s="25"/>
      <c r="J38" s="17"/>
    </row>
    <row r="39" spans="1:26" ht="12.75" customHeight="1">
      <c r="A39" s="84"/>
      <c r="B39" s="85"/>
      <c r="C39" s="85"/>
      <c r="D39" s="85"/>
      <c r="E39" s="89"/>
      <c r="F39" s="39" t="s">
        <v>67</v>
      </c>
      <c r="G39" s="27"/>
      <c r="H39" s="27"/>
      <c r="I39" s="27"/>
      <c r="J39" s="28"/>
    </row>
    <row r="40" spans="1:26" ht="15.75" customHeight="1">
      <c r="A40" s="83" t="s">
        <v>62</v>
      </c>
      <c r="B40" s="66"/>
      <c r="C40" s="66"/>
      <c r="D40" s="66"/>
      <c r="E40" s="66"/>
      <c r="F40" s="29"/>
      <c r="G40" s="25"/>
      <c r="H40" s="25"/>
      <c r="I40" s="25"/>
      <c r="J40" s="16"/>
    </row>
    <row r="41" spans="1:26" ht="11.25" customHeight="1">
      <c r="A41" s="84"/>
      <c r="B41" s="85"/>
      <c r="C41" s="85"/>
      <c r="D41" s="85"/>
      <c r="E41" s="85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B34:E35"/>
    <mergeCell ref="A38:E39"/>
    <mergeCell ref="A40:E41"/>
    <mergeCell ref="A29:B29"/>
    <mergeCell ref="F29:G29"/>
    <mergeCell ref="H29:I29"/>
    <mergeCell ref="C30:D30"/>
    <mergeCell ref="A31:B31"/>
    <mergeCell ref="B32:E33"/>
    <mergeCell ref="A25:J25"/>
    <mergeCell ref="A26:B26"/>
    <mergeCell ref="F26:G26"/>
    <mergeCell ref="H26:I26"/>
    <mergeCell ref="C27:D27"/>
    <mergeCell ref="A28:J28"/>
    <mergeCell ref="C21:D21"/>
    <mergeCell ref="A22:J22"/>
    <mergeCell ref="A23:B23"/>
    <mergeCell ref="F23:G23"/>
    <mergeCell ref="H23:I23"/>
    <mergeCell ref="C24:D24"/>
    <mergeCell ref="F18:H18"/>
    <mergeCell ref="I18:J18"/>
    <mergeCell ref="A19:J19"/>
    <mergeCell ref="A20:B20"/>
    <mergeCell ref="F20:G20"/>
    <mergeCell ref="H20:I20"/>
    <mergeCell ref="A16:B16"/>
    <mergeCell ref="C16:E16"/>
    <mergeCell ref="F16:H16"/>
    <mergeCell ref="I16:J16"/>
    <mergeCell ref="F17:H17"/>
    <mergeCell ref="I17:J17"/>
    <mergeCell ref="F14:H14"/>
    <mergeCell ref="I14:J14"/>
    <mergeCell ref="A15:B15"/>
    <mergeCell ref="C15:D15"/>
    <mergeCell ref="F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5:J5"/>
    <mergeCell ref="A6:J6"/>
    <mergeCell ref="A7:B7"/>
    <mergeCell ref="C7:E7"/>
    <mergeCell ref="G7:J7"/>
    <mergeCell ref="A8:B8"/>
    <mergeCell ref="C8:D8"/>
    <mergeCell ref="I8:J8"/>
    <mergeCell ref="A1:J1"/>
    <mergeCell ref="A2:J2"/>
    <mergeCell ref="A3:C3"/>
    <mergeCell ref="D3:J3"/>
    <mergeCell ref="A4:C4"/>
    <mergeCell ref="D4:J4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579"/>
  <sheetViews>
    <sheetView view="pageLayout" zoomScale="112" zoomScaleNormal="100" zoomScalePageLayoutView="112" workbookViewId="0">
      <selection activeCell="C30" sqref="C30:D30"/>
    </sheetView>
  </sheetViews>
  <sheetFormatPr defaultColWidth="14.42578125" defaultRowHeight="15" customHeight="1"/>
  <cols>
    <col min="1" max="1" width="12.85546875" style="41" customWidth="1"/>
    <col min="2" max="2" width="8" style="41" customWidth="1"/>
    <col min="3" max="3" width="11.28515625" style="41" customWidth="1"/>
    <col min="4" max="4" width="6" style="41" customWidth="1"/>
    <col min="5" max="5" width="6.85546875" style="41" customWidth="1"/>
    <col min="6" max="6" width="12.140625" style="41" customWidth="1"/>
    <col min="7" max="7" width="10" style="41" customWidth="1"/>
    <col min="8" max="8" width="8.5703125" style="41" customWidth="1"/>
    <col min="9" max="9" width="4.5703125" style="41" customWidth="1"/>
    <col min="10" max="10" width="6.7109375" style="41" customWidth="1"/>
    <col min="11" max="11" width="8" style="41" customWidth="1"/>
    <col min="12" max="16384" width="14.42578125" style="41"/>
  </cols>
  <sheetData>
    <row r="1" spans="1:26">
      <c r="A1" s="70" t="s">
        <v>0</v>
      </c>
      <c r="B1" s="71"/>
      <c r="C1" s="71"/>
      <c r="D1" s="71"/>
      <c r="E1" s="71"/>
      <c r="F1" s="71"/>
      <c r="G1" s="71"/>
      <c r="H1" s="71"/>
      <c r="I1" s="71"/>
      <c r="J1" s="72"/>
    </row>
    <row r="2" spans="1:26">
      <c r="A2" s="70" t="s">
        <v>1</v>
      </c>
      <c r="B2" s="71"/>
      <c r="C2" s="71"/>
      <c r="D2" s="71"/>
      <c r="E2" s="71"/>
      <c r="F2" s="71"/>
      <c r="G2" s="71"/>
      <c r="H2" s="71"/>
      <c r="I2" s="71"/>
      <c r="J2" s="72"/>
    </row>
    <row r="3" spans="1:26">
      <c r="A3" s="73" t="s">
        <v>2</v>
      </c>
      <c r="B3" s="71"/>
      <c r="C3" s="72"/>
      <c r="D3" s="94">
        <v>2024070193</v>
      </c>
      <c r="E3" s="95"/>
      <c r="F3" s="95"/>
      <c r="G3" s="95"/>
      <c r="H3" s="95"/>
      <c r="I3" s="95"/>
      <c r="J3" s="96"/>
    </row>
    <row r="4" spans="1:26">
      <c r="A4" s="73" t="s">
        <v>3</v>
      </c>
      <c r="B4" s="71"/>
      <c r="C4" s="72"/>
      <c r="D4" s="94">
        <v>80824</v>
      </c>
      <c r="E4" s="95"/>
      <c r="F4" s="95"/>
      <c r="G4" s="95"/>
      <c r="H4" s="95"/>
      <c r="I4" s="95"/>
      <c r="J4" s="96"/>
    </row>
    <row r="5" spans="1:26" ht="15" customHeight="1">
      <c r="A5" s="74" t="s">
        <v>4</v>
      </c>
      <c r="B5" s="71"/>
      <c r="C5" s="71"/>
      <c r="D5" s="71"/>
      <c r="E5" s="71"/>
      <c r="F5" s="71"/>
      <c r="G5" s="71"/>
      <c r="H5" s="71"/>
      <c r="I5" s="71"/>
      <c r="J5" s="7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4" t="s">
        <v>5</v>
      </c>
      <c r="B6" s="71"/>
      <c r="C6" s="71"/>
      <c r="D6" s="71"/>
      <c r="E6" s="71"/>
      <c r="F6" s="71"/>
      <c r="G6" s="71"/>
      <c r="H6" s="71"/>
      <c r="I6" s="71"/>
      <c r="J6" s="72"/>
    </row>
    <row r="7" spans="1:26" ht="30" customHeight="1">
      <c r="A7" s="75" t="s">
        <v>6</v>
      </c>
      <c r="B7" s="66"/>
      <c r="C7" s="76" t="s">
        <v>7</v>
      </c>
      <c r="D7" s="66"/>
      <c r="E7" s="66"/>
      <c r="F7" s="44" t="s">
        <v>8</v>
      </c>
      <c r="G7" s="65" t="s">
        <v>9</v>
      </c>
      <c r="H7" s="66"/>
      <c r="I7" s="66"/>
      <c r="J7" s="67"/>
    </row>
    <row r="8" spans="1:26" ht="15" customHeight="1">
      <c r="A8" s="77" t="s">
        <v>10</v>
      </c>
      <c r="B8" s="46"/>
      <c r="C8" s="78" t="s">
        <v>11</v>
      </c>
      <c r="D8" s="46"/>
      <c r="E8" s="4"/>
      <c r="F8" s="40" t="s">
        <v>12</v>
      </c>
      <c r="G8" s="6" t="s">
        <v>13</v>
      </c>
      <c r="H8" s="6" t="s">
        <v>14</v>
      </c>
      <c r="I8" s="68"/>
      <c r="J8" s="69"/>
    </row>
    <row r="9" spans="1:26" ht="30" customHeight="1">
      <c r="A9" s="77" t="s">
        <v>15</v>
      </c>
      <c r="B9" s="46"/>
      <c r="C9" s="78" t="s">
        <v>16</v>
      </c>
      <c r="D9" s="46"/>
      <c r="E9" s="7"/>
      <c r="F9" s="44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7" t="s">
        <v>20</v>
      </c>
      <c r="B10" s="46"/>
      <c r="C10" s="78" t="s">
        <v>21</v>
      </c>
      <c r="D10" s="46"/>
      <c r="E10" s="7"/>
      <c r="F10" s="44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7" t="s">
        <v>25</v>
      </c>
      <c r="B11" s="46"/>
      <c r="C11" s="78" t="s">
        <v>26</v>
      </c>
      <c r="D11" s="46"/>
      <c r="E11" s="7"/>
      <c r="F11" s="44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7" t="s">
        <v>30</v>
      </c>
      <c r="B12" s="46"/>
      <c r="C12" s="78" t="s">
        <v>31</v>
      </c>
      <c r="D12" s="46"/>
      <c r="E12" s="7"/>
      <c r="F12" s="44" t="s">
        <v>32</v>
      </c>
      <c r="G12" s="8" t="s">
        <v>33</v>
      </c>
      <c r="H12" s="8" t="s">
        <v>34</v>
      </c>
      <c r="I12" s="9"/>
      <c r="J12" s="10"/>
    </row>
    <row r="13" spans="1:26" ht="30">
      <c r="A13" s="77" t="s">
        <v>35</v>
      </c>
      <c r="B13" s="46"/>
      <c r="C13" s="78" t="s">
        <v>36</v>
      </c>
      <c r="D13" s="46"/>
      <c r="E13" s="7"/>
      <c r="F13" s="44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7" t="s">
        <v>40</v>
      </c>
      <c r="B14" s="46"/>
      <c r="C14" s="78" t="s">
        <v>41</v>
      </c>
      <c r="D14" s="46"/>
      <c r="E14" s="7"/>
      <c r="F14" s="79" t="s">
        <v>42</v>
      </c>
      <c r="G14" s="46"/>
      <c r="H14" s="46"/>
      <c r="I14" s="80" t="s">
        <v>43</v>
      </c>
      <c r="J14" s="69"/>
    </row>
    <row r="15" spans="1:26" ht="15" customHeight="1">
      <c r="A15" s="77" t="s">
        <v>44</v>
      </c>
      <c r="B15" s="46"/>
      <c r="C15" s="78" t="s">
        <v>45</v>
      </c>
      <c r="D15" s="46"/>
      <c r="E15" s="7"/>
      <c r="F15" s="81" t="s">
        <v>64</v>
      </c>
      <c r="G15" s="46"/>
      <c r="H15" s="46"/>
      <c r="I15" s="47">
        <v>45808</v>
      </c>
      <c r="J15" s="48"/>
    </row>
    <row r="16" spans="1:26" ht="15" customHeight="1">
      <c r="A16" s="77" t="s">
        <v>46</v>
      </c>
      <c r="B16" s="46"/>
      <c r="C16" s="82" t="s">
        <v>47</v>
      </c>
      <c r="D16" s="46"/>
      <c r="E16" s="46"/>
      <c r="F16" s="45" t="s">
        <v>65</v>
      </c>
      <c r="G16" s="46"/>
      <c r="H16" s="46"/>
      <c r="I16" s="47">
        <v>45716</v>
      </c>
      <c r="J16" s="48"/>
    </row>
    <row r="17" spans="1:26">
      <c r="A17" s="42"/>
      <c r="B17" s="44"/>
      <c r="C17" s="43"/>
      <c r="D17" s="43"/>
      <c r="E17" s="43"/>
      <c r="F17" s="45" t="s">
        <v>66</v>
      </c>
      <c r="G17" s="46"/>
      <c r="H17" s="46"/>
      <c r="I17" s="47">
        <v>45688</v>
      </c>
      <c r="J17" s="4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9" t="s">
        <v>63</v>
      </c>
      <c r="G18" s="50"/>
      <c r="H18" s="50"/>
      <c r="I18" s="51">
        <v>46142</v>
      </c>
      <c r="J18" s="52"/>
    </row>
    <row r="19" spans="1:26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>
      <c r="A20" s="53" t="s">
        <v>49</v>
      </c>
      <c r="B20" s="54"/>
      <c r="C20" s="90">
        <v>4.3819999999999997</v>
      </c>
      <c r="D20" s="31" t="s">
        <v>50</v>
      </c>
      <c r="E20" s="32">
        <v>1000</v>
      </c>
      <c r="F20" s="55" t="s">
        <v>51</v>
      </c>
      <c r="G20" s="54"/>
      <c r="H20" s="56" t="str">
        <f>IF(AND(C21&lt;0.15),"&lt;0.15",C21)</f>
        <v>&lt;0.15</v>
      </c>
      <c r="I20" s="57"/>
      <c r="J20" s="33" t="s">
        <v>52</v>
      </c>
    </row>
    <row r="21" spans="1:26" ht="15.75" customHeight="1">
      <c r="A21" s="34" t="s">
        <v>53</v>
      </c>
      <c r="B21" s="35"/>
      <c r="C21" s="58">
        <f>C20/1000</f>
        <v>4.3819999999999996E-3</v>
      </c>
      <c r="D21" s="59"/>
      <c r="E21" s="36"/>
      <c r="F21" s="35"/>
      <c r="G21" s="35"/>
      <c r="H21" s="35"/>
      <c r="I21" s="35"/>
      <c r="J21" s="33"/>
    </row>
    <row r="22" spans="1:26" ht="15.75" customHeight="1">
      <c r="A22" s="91" t="s">
        <v>56</v>
      </c>
      <c r="B22" s="92"/>
      <c r="C22" s="92"/>
      <c r="D22" s="92"/>
      <c r="E22" s="92"/>
      <c r="F22" s="92"/>
      <c r="G22" s="92"/>
      <c r="H22" s="92"/>
      <c r="I22" s="92"/>
      <c r="J22" s="9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3" t="s">
        <v>49</v>
      </c>
      <c r="B23" s="54"/>
      <c r="C23" s="90">
        <v>3.7519999999999998</v>
      </c>
      <c r="D23" s="31" t="s">
        <v>50</v>
      </c>
      <c r="E23" s="37">
        <v>1000</v>
      </c>
      <c r="F23" s="55" t="s">
        <v>51</v>
      </c>
      <c r="G23" s="54"/>
      <c r="H23" s="56" t="str">
        <f>IF(C24&lt;0.15,"&lt;0.15",C24)</f>
        <v>&lt;0.15</v>
      </c>
      <c r="I23" s="57"/>
      <c r="J23" s="33" t="s">
        <v>52</v>
      </c>
    </row>
    <row r="24" spans="1:26" ht="15.75" customHeight="1">
      <c r="A24" s="34" t="s">
        <v>53</v>
      </c>
      <c r="B24" s="35"/>
      <c r="C24" s="58">
        <f>C23/1000</f>
        <v>3.7519999999999997E-3</v>
      </c>
      <c r="D24" s="59"/>
      <c r="E24" s="36"/>
      <c r="F24" s="35"/>
      <c r="G24" s="35"/>
      <c r="H24" s="35"/>
      <c r="I24" s="35"/>
      <c r="J24" s="33"/>
    </row>
    <row r="25" spans="1:26" ht="15.75" customHeight="1">
      <c r="A25" s="91" t="s">
        <v>54</v>
      </c>
      <c r="B25" s="92"/>
      <c r="C25" s="92"/>
      <c r="D25" s="92"/>
      <c r="E25" s="92"/>
      <c r="F25" s="92"/>
      <c r="G25" s="92"/>
      <c r="H25" s="92"/>
      <c r="I25" s="92"/>
      <c r="J25" s="9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0" t="s">
        <v>49</v>
      </c>
      <c r="B26" s="46"/>
      <c r="C26" s="90">
        <v>1.252</v>
      </c>
      <c r="D26" s="31" t="s">
        <v>50</v>
      </c>
      <c r="E26" s="37">
        <v>1000</v>
      </c>
      <c r="F26" s="61" t="s">
        <v>51</v>
      </c>
      <c r="G26" s="54"/>
      <c r="H26" s="56" t="str">
        <f>IF(AND(C27&lt;0.15),"&lt;0.15",C27)</f>
        <v>&lt;0.15</v>
      </c>
      <c r="I26" s="57"/>
      <c r="J26" s="38" t="s">
        <v>52</v>
      </c>
    </row>
    <row r="27" spans="1:26" ht="15.75" customHeight="1">
      <c r="A27" s="34" t="s">
        <v>53</v>
      </c>
      <c r="B27" s="35"/>
      <c r="C27" s="62">
        <f>C26/1000</f>
        <v>1.2520000000000001E-3</v>
      </c>
      <c r="D27" s="63"/>
      <c r="E27" s="36"/>
      <c r="F27" s="35"/>
      <c r="G27" s="35"/>
      <c r="H27" s="35"/>
      <c r="I27" s="35"/>
      <c r="J27" s="33"/>
    </row>
    <row r="28" spans="1:26" ht="15.75" customHeight="1">
      <c r="A28" s="91" t="s">
        <v>55</v>
      </c>
      <c r="B28" s="92"/>
      <c r="C28" s="92"/>
      <c r="D28" s="92"/>
      <c r="E28" s="92"/>
      <c r="F28" s="92"/>
      <c r="G28" s="92"/>
      <c r="H28" s="92"/>
      <c r="I28" s="92"/>
      <c r="J28" s="9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0" t="s">
        <v>49</v>
      </c>
      <c r="B29" s="46"/>
      <c r="C29" s="90">
        <v>53.901000000000003</v>
      </c>
      <c r="D29" s="31" t="s">
        <v>50</v>
      </c>
      <c r="E29" s="37">
        <v>1000</v>
      </c>
      <c r="F29" s="64" t="s">
        <v>51</v>
      </c>
      <c r="G29" s="46"/>
      <c r="H29" s="56" t="str">
        <f>IF(AND(C30&lt;0.15),"&lt;0.15",C30)</f>
        <v>&lt;0.15</v>
      </c>
      <c r="I29" s="57"/>
      <c r="J29" s="33" t="s">
        <v>52</v>
      </c>
    </row>
    <row r="30" spans="1:26" ht="15.75" customHeight="1">
      <c r="A30" s="34" t="s">
        <v>53</v>
      </c>
      <c r="B30" s="35"/>
      <c r="C30" s="58">
        <f>C29/1000</f>
        <v>5.3901000000000004E-2</v>
      </c>
      <c r="D30" s="59"/>
      <c r="E30" s="36"/>
      <c r="F30" s="35"/>
      <c r="G30" s="35"/>
      <c r="H30" s="35"/>
      <c r="I30" s="35"/>
      <c r="J30" s="33"/>
    </row>
    <row r="31" spans="1:26" ht="15.75" customHeight="1">
      <c r="A31" s="86" t="s">
        <v>57</v>
      </c>
      <c r="B31" s="66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7" t="s">
        <v>59</v>
      </c>
      <c r="C32" s="46"/>
      <c r="D32" s="46"/>
      <c r="E32" s="69"/>
      <c r="F32" s="1"/>
      <c r="G32" s="1"/>
      <c r="H32" s="1"/>
      <c r="I32" s="1"/>
      <c r="J32" s="16"/>
    </row>
    <row r="33" spans="1:26" ht="15.75" customHeight="1">
      <c r="A33" s="21"/>
      <c r="B33" s="46"/>
      <c r="C33" s="46"/>
      <c r="D33" s="46"/>
      <c r="E33" s="69"/>
      <c r="F33" s="22"/>
      <c r="G33" s="1"/>
      <c r="H33" s="1"/>
      <c r="I33" s="1"/>
      <c r="J33" s="16"/>
    </row>
    <row r="34" spans="1:26" ht="15.75" customHeight="1">
      <c r="A34" s="23"/>
      <c r="B34" s="87" t="s">
        <v>60</v>
      </c>
      <c r="C34" s="46"/>
      <c r="D34" s="46"/>
      <c r="E34" s="69"/>
      <c r="F34" s="1"/>
      <c r="G34" s="1"/>
      <c r="H34" s="1"/>
      <c r="I34" s="1"/>
      <c r="J34" s="16"/>
    </row>
    <row r="35" spans="1:26" ht="15.75" customHeight="1">
      <c r="A35" s="23"/>
      <c r="B35" s="46"/>
      <c r="C35" s="46"/>
      <c r="D35" s="46"/>
      <c r="E35" s="6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3.5" customHeight="1">
      <c r="A38" s="88" t="s">
        <v>61</v>
      </c>
      <c r="B38" s="66"/>
      <c r="C38" s="66"/>
      <c r="D38" s="66"/>
      <c r="E38" s="67"/>
      <c r="F38" s="24"/>
      <c r="G38" s="25"/>
      <c r="H38" s="25"/>
      <c r="I38" s="25"/>
      <c r="J38" s="17"/>
    </row>
    <row r="39" spans="1:26" ht="12.75" customHeight="1">
      <c r="A39" s="84"/>
      <c r="B39" s="85"/>
      <c r="C39" s="85"/>
      <c r="D39" s="85"/>
      <c r="E39" s="89"/>
      <c r="F39" s="39" t="s">
        <v>67</v>
      </c>
      <c r="G39" s="27"/>
      <c r="H39" s="27"/>
      <c r="I39" s="27"/>
      <c r="J39" s="28"/>
    </row>
    <row r="40" spans="1:26" ht="15.75" customHeight="1">
      <c r="A40" s="83" t="s">
        <v>62</v>
      </c>
      <c r="B40" s="66"/>
      <c r="C40" s="66"/>
      <c r="D40" s="66"/>
      <c r="E40" s="66"/>
      <c r="F40" s="29"/>
      <c r="G40" s="25"/>
      <c r="H40" s="25"/>
      <c r="I40" s="25"/>
      <c r="J40" s="16"/>
    </row>
    <row r="41" spans="1:26" ht="11.25" customHeight="1">
      <c r="A41" s="84"/>
      <c r="B41" s="85"/>
      <c r="C41" s="85"/>
      <c r="D41" s="85"/>
      <c r="E41" s="85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B34:E35"/>
    <mergeCell ref="A38:E39"/>
    <mergeCell ref="A40:E41"/>
    <mergeCell ref="A29:B29"/>
    <mergeCell ref="F29:G29"/>
    <mergeCell ref="H29:I29"/>
    <mergeCell ref="C30:D30"/>
    <mergeCell ref="A31:B31"/>
    <mergeCell ref="B32:E33"/>
    <mergeCell ref="A25:J25"/>
    <mergeCell ref="A26:B26"/>
    <mergeCell ref="F26:G26"/>
    <mergeCell ref="H26:I26"/>
    <mergeCell ref="C27:D27"/>
    <mergeCell ref="A28:J28"/>
    <mergeCell ref="C21:D21"/>
    <mergeCell ref="A22:J22"/>
    <mergeCell ref="A23:B23"/>
    <mergeCell ref="F23:G23"/>
    <mergeCell ref="H23:I23"/>
    <mergeCell ref="C24:D24"/>
    <mergeCell ref="F18:H18"/>
    <mergeCell ref="I18:J18"/>
    <mergeCell ref="A19:J19"/>
    <mergeCell ref="A20:B20"/>
    <mergeCell ref="F20:G20"/>
    <mergeCell ref="H20:I20"/>
    <mergeCell ref="A16:B16"/>
    <mergeCell ref="C16:E16"/>
    <mergeCell ref="F16:H16"/>
    <mergeCell ref="I16:J16"/>
    <mergeCell ref="F17:H17"/>
    <mergeCell ref="I17:J17"/>
    <mergeCell ref="F14:H14"/>
    <mergeCell ref="I14:J14"/>
    <mergeCell ref="A15:B15"/>
    <mergeCell ref="C15:D15"/>
    <mergeCell ref="F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5:J5"/>
    <mergeCell ref="A6:J6"/>
    <mergeCell ref="A7:B7"/>
    <mergeCell ref="C7:E7"/>
    <mergeCell ref="G7:J7"/>
    <mergeCell ref="A8:B8"/>
    <mergeCell ref="C8:D8"/>
    <mergeCell ref="I8:J8"/>
    <mergeCell ref="A1:J1"/>
    <mergeCell ref="A2:J2"/>
    <mergeCell ref="A3:C3"/>
    <mergeCell ref="D3:J3"/>
    <mergeCell ref="A4:C4"/>
    <mergeCell ref="D4:J4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579"/>
  <sheetViews>
    <sheetView view="pageLayout" zoomScale="112" zoomScaleNormal="100" zoomScalePageLayoutView="112" workbookViewId="0">
      <selection activeCell="E30" sqref="E30"/>
    </sheetView>
  </sheetViews>
  <sheetFormatPr defaultColWidth="14.42578125" defaultRowHeight="15" customHeight="1"/>
  <cols>
    <col min="1" max="1" width="12.85546875" style="41" customWidth="1"/>
    <col min="2" max="2" width="8" style="41" customWidth="1"/>
    <col min="3" max="3" width="11.28515625" style="41" customWidth="1"/>
    <col min="4" max="4" width="6" style="41" customWidth="1"/>
    <col min="5" max="5" width="6.85546875" style="41" customWidth="1"/>
    <col min="6" max="6" width="12.140625" style="41" customWidth="1"/>
    <col min="7" max="7" width="10" style="41" customWidth="1"/>
    <col min="8" max="8" width="8.5703125" style="41" customWidth="1"/>
    <col min="9" max="9" width="4.5703125" style="41" customWidth="1"/>
    <col min="10" max="10" width="6.7109375" style="41" customWidth="1"/>
    <col min="11" max="11" width="8" style="41" customWidth="1"/>
    <col min="12" max="16384" width="14.42578125" style="41"/>
  </cols>
  <sheetData>
    <row r="1" spans="1:26">
      <c r="A1" s="70" t="s">
        <v>0</v>
      </c>
      <c r="B1" s="71"/>
      <c r="C1" s="71"/>
      <c r="D1" s="71"/>
      <c r="E1" s="71"/>
      <c r="F1" s="71"/>
      <c r="G1" s="71"/>
      <c r="H1" s="71"/>
      <c r="I1" s="71"/>
      <c r="J1" s="72"/>
    </row>
    <row r="2" spans="1:26">
      <c r="A2" s="70" t="s">
        <v>1</v>
      </c>
      <c r="B2" s="71"/>
      <c r="C2" s="71"/>
      <c r="D2" s="71"/>
      <c r="E2" s="71"/>
      <c r="F2" s="71"/>
      <c r="G2" s="71"/>
      <c r="H2" s="71"/>
      <c r="I2" s="71"/>
      <c r="J2" s="72"/>
    </row>
    <row r="3" spans="1:26">
      <c r="A3" s="73" t="s">
        <v>2</v>
      </c>
      <c r="B3" s="71"/>
      <c r="C3" s="72"/>
      <c r="D3" s="94">
        <v>2024070100</v>
      </c>
      <c r="E3" s="95"/>
      <c r="F3" s="95"/>
      <c r="G3" s="95"/>
      <c r="H3" s="95"/>
      <c r="I3" s="95"/>
      <c r="J3" s="96"/>
    </row>
    <row r="4" spans="1:26">
      <c r="A4" s="73" t="s">
        <v>3</v>
      </c>
      <c r="B4" s="71"/>
      <c r="C4" s="72"/>
      <c r="D4" s="94">
        <v>80824</v>
      </c>
      <c r="E4" s="95"/>
      <c r="F4" s="95"/>
      <c r="G4" s="95"/>
      <c r="H4" s="95"/>
      <c r="I4" s="95"/>
      <c r="J4" s="96"/>
    </row>
    <row r="5" spans="1:26" ht="15" customHeight="1">
      <c r="A5" s="74" t="s">
        <v>4</v>
      </c>
      <c r="B5" s="71"/>
      <c r="C5" s="71"/>
      <c r="D5" s="71"/>
      <c r="E5" s="71"/>
      <c r="F5" s="71"/>
      <c r="G5" s="71"/>
      <c r="H5" s="71"/>
      <c r="I5" s="71"/>
      <c r="J5" s="7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4" t="s">
        <v>5</v>
      </c>
      <c r="B6" s="71"/>
      <c r="C6" s="71"/>
      <c r="D6" s="71"/>
      <c r="E6" s="71"/>
      <c r="F6" s="71"/>
      <c r="G6" s="71"/>
      <c r="H6" s="71"/>
      <c r="I6" s="71"/>
      <c r="J6" s="72"/>
    </row>
    <row r="7" spans="1:26" ht="30" customHeight="1">
      <c r="A7" s="75" t="s">
        <v>6</v>
      </c>
      <c r="B7" s="66"/>
      <c r="C7" s="76" t="s">
        <v>7</v>
      </c>
      <c r="D7" s="66"/>
      <c r="E7" s="66"/>
      <c r="F7" s="44" t="s">
        <v>8</v>
      </c>
      <c r="G7" s="65" t="s">
        <v>9</v>
      </c>
      <c r="H7" s="66"/>
      <c r="I7" s="66"/>
      <c r="J7" s="67"/>
    </row>
    <row r="8" spans="1:26" ht="15" customHeight="1">
      <c r="A8" s="77" t="s">
        <v>10</v>
      </c>
      <c r="B8" s="46"/>
      <c r="C8" s="78" t="s">
        <v>11</v>
      </c>
      <c r="D8" s="46"/>
      <c r="E8" s="4"/>
      <c r="F8" s="40" t="s">
        <v>12</v>
      </c>
      <c r="G8" s="6" t="s">
        <v>13</v>
      </c>
      <c r="H8" s="6" t="s">
        <v>14</v>
      </c>
      <c r="I8" s="68"/>
      <c r="J8" s="69"/>
    </row>
    <row r="9" spans="1:26" ht="30" customHeight="1">
      <c r="A9" s="77" t="s">
        <v>15</v>
      </c>
      <c r="B9" s="46"/>
      <c r="C9" s="78" t="s">
        <v>16</v>
      </c>
      <c r="D9" s="46"/>
      <c r="E9" s="7"/>
      <c r="F9" s="44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7" t="s">
        <v>20</v>
      </c>
      <c r="B10" s="46"/>
      <c r="C10" s="78" t="s">
        <v>21</v>
      </c>
      <c r="D10" s="46"/>
      <c r="E10" s="7"/>
      <c r="F10" s="44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7" t="s">
        <v>25</v>
      </c>
      <c r="B11" s="46"/>
      <c r="C11" s="78" t="s">
        <v>26</v>
      </c>
      <c r="D11" s="46"/>
      <c r="E11" s="7"/>
      <c r="F11" s="44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7" t="s">
        <v>30</v>
      </c>
      <c r="B12" s="46"/>
      <c r="C12" s="78" t="s">
        <v>31</v>
      </c>
      <c r="D12" s="46"/>
      <c r="E12" s="7"/>
      <c r="F12" s="44" t="s">
        <v>32</v>
      </c>
      <c r="G12" s="8" t="s">
        <v>33</v>
      </c>
      <c r="H12" s="8" t="s">
        <v>34</v>
      </c>
      <c r="I12" s="9"/>
      <c r="J12" s="10"/>
    </row>
    <row r="13" spans="1:26" ht="30">
      <c r="A13" s="77" t="s">
        <v>35</v>
      </c>
      <c r="B13" s="46"/>
      <c r="C13" s="78" t="s">
        <v>36</v>
      </c>
      <c r="D13" s="46"/>
      <c r="E13" s="7"/>
      <c r="F13" s="44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7" t="s">
        <v>40</v>
      </c>
      <c r="B14" s="46"/>
      <c r="C14" s="78" t="s">
        <v>41</v>
      </c>
      <c r="D14" s="46"/>
      <c r="E14" s="7"/>
      <c r="F14" s="79" t="s">
        <v>42</v>
      </c>
      <c r="G14" s="46"/>
      <c r="H14" s="46"/>
      <c r="I14" s="80" t="s">
        <v>43</v>
      </c>
      <c r="J14" s="69"/>
    </row>
    <row r="15" spans="1:26" ht="15" customHeight="1">
      <c r="A15" s="77" t="s">
        <v>44</v>
      </c>
      <c r="B15" s="46"/>
      <c r="C15" s="78" t="s">
        <v>45</v>
      </c>
      <c r="D15" s="46"/>
      <c r="E15" s="7"/>
      <c r="F15" s="81" t="s">
        <v>64</v>
      </c>
      <c r="G15" s="46"/>
      <c r="H15" s="46"/>
      <c r="I15" s="47">
        <v>45808</v>
      </c>
      <c r="J15" s="48"/>
    </row>
    <row r="16" spans="1:26" ht="15" customHeight="1">
      <c r="A16" s="77" t="s">
        <v>46</v>
      </c>
      <c r="B16" s="46"/>
      <c r="C16" s="82" t="s">
        <v>47</v>
      </c>
      <c r="D16" s="46"/>
      <c r="E16" s="46"/>
      <c r="F16" s="45" t="s">
        <v>65</v>
      </c>
      <c r="G16" s="46"/>
      <c r="H16" s="46"/>
      <c r="I16" s="47">
        <v>45716</v>
      </c>
      <c r="J16" s="48"/>
    </row>
    <row r="17" spans="1:26">
      <c r="A17" s="42"/>
      <c r="B17" s="44"/>
      <c r="C17" s="43"/>
      <c r="D17" s="43"/>
      <c r="E17" s="43"/>
      <c r="F17" s="45" t="s">
        <v>66</v>
      </c>
      <c r="G17" s="46"/>
      <c r="H17" s="46"/>
      <c r="I17" s="47">
        <v>45688</v>
      </c>
      <c r="J17" s="4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9" t="s">
        <v>63</v>
      </c>
      <c r="G18" s="50"/>
      <c r="H18" s="50"/>
      <c r="I18" s="51">
        <v>46142</v>
      </c>
      <c r="J18" s="52"/>
    </row>
    <row r="19" spans="1:26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>
      <c r="A20" s="53" t="s">
        <v>49</v>
      </c>
      <c r="B20" s="54"/>
      <c r="C20" s="90">
        <v>5.8890000000000002</v>
      </c>
      <c r="D20" s="31" t="s">
        <v>50</v>
      </c>
      <c r="E20" s="32">
        <v>1000</v>
      </c>
      <c r="F20" s="55" t="s">
        <v>51</v>
      </c>
      <c r="G20" s="54"/>
      <c r="H20" s="56" t="str">
        <f>IF(AND(C21&lt;0.15),"&lt;0.15",C21)</f>
        <v>&lt;0.15</v>
      </c>
      <c r="I20" s="57"/>
      <c r="J20" s="33" t="s">
        <v>52</v>
      </c>
    </row>
    <row r="21" spans="1:26" ht="15.75" customHeight="1">
      <c r="A21" s="34" t="s">
        <v>53</v>
      </c>
      <c r="B21" s="35"/>
      <c r="C21" s="58">
        <f>C20/1000</f>
        <v>5.8890000000000001E-3</v>
      </c>
      <c r="D21" s="59"/>
      <c r="E21" s="36"/>
      <c r="F21" s="35"/>
      <c r="G21" s="35"/>
      <c r="H21" s="35"/>
      <c r="I21" s="35"/>
      <c r="J21" s="33"/>
    </row>
    <row r="22" spans="1:26" ht="15.75" customHeight="1">
      <c r="A22" s="91" t="s">
        <v>56</v>
      </c>
      <c r="B22" s="92"/>
      <c r="C22" s="92"/>
      <c r="D22" s="92"/>
      <c r="E22" s="92"/>
      <c r="F22" s="92"/>
      <c r="G22" s="92"/>
      <c r="H22" s="92"/>
      <c r="I22" s="92"/>
      <c r="J22" s="9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3" t="s">
        <v>49</v>
      </c>
      <c r="B23" s="54"/>
      <c r="C23" s="90">
        <v>6.5609999999999999</v>
      </c>
      <c r="D23" s="31" t="s">
        <v>50</v>
      </c>
      <c r="E23" s="37">
        <v>1000</v>
      </c>
      <c r="F23" s="55" t="s">
        <v>51</v>
      </c>
      <c r="G23" s="54"/>
      <c r="H23" s="56" t="str">
        <f>IF(C24&lt;0.15,"&lt;0.15",C24)</f>
        <v>&lt;0.15</v>
      </c>
      <c r="I23" s="57"/>
      <c r="J23" s="33" t="s">
        <v>52</v>
      </c>
    </row>
    <row r="24" spans="1:26" ht="15.75" customHeight="1">
      <c r="A24" s="34" t="s">
        <v>53</v>
      </c>
      <c r="B24" s="35"/>
      <c r="C24" s="58">
        <f>C23/1000</f>
        <v>6.561E-3</v>
      </c>
      <c r="D24" s="59"/>
      <c r="E24" s="36"/>
      <c r="F24" s="35"/>
      <c r="G24" s="35"/>
      <c r="H24" s="35"/>
      <c r="I24" s="35"/>
      <c r="J24" s="33"/>
    </row>
    <row r="25" spans="1:26" ht="15.75" customHeight="1">
      <c r="A25" s="91" t="s">
        <v>54</v>
      </c>
      <c r="B25" s="92"/>
      <c r="C25" s="92"/>
      <c r="D25" s="92"/>
      <c r="E25" s="92"/>
      <c r="F25" s="92"/>
      <c r="G25" s="92"/>
      <c r="H25" s="92"/>
      <c r="I25" s="92"/>
      <c r="J25" s="9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0" t="s">
        <v>49</v>
      </c>
      <c r="B26" s="46"/>
      <c r="C26" s="90">
        <v>1.345</v>
      </c>
      <c r="D26" s="31" t="s">
        <v>50</v>
      </c>
      <c r="E26" s="37">
        <v>1000</v>
      </c>
      <c r="F26" s="61" t="s">
        <v>51</v>
      </c>
      <c r="G26" s="54"/>
      <c r="H26" s="56" t="str">
        <f>IF(AND(C27&lt;0.15),"&lt;0.15",C27)</f>
        <v>&lt;0.15</v>
      </c>
      <c r="I26" s="57"/>
      <c r="J26" s="38" t="s">
        <v>52</v>
      </c>
    </row>
    <row r="27" spans="1:26" ht="15.75" customHeight="1">
      <c r="A27" s="34" t="s">
        <v>53</v>
      </c>
      <c r="B27" s="35"/>
      <c r="C27" s="62">
        <f>C26/1000</f>
        <v>1.3450000000000001E-3</v>
      </c>
      <c r="D27" s="63"/>
      <c r="E27" s="36"/>
      <c r="F27" s="35"/>
      <c r="G27" s="35"/>
      <c r="H27" s="35"/>
      <c r="I27" s="35"/>
      <c r="J27" s="33"/>
    </row>
    <row r="28" spans="1:26" ht="15.75" customHeight="1">
      <c r="A28" s="91" t="s">
        <v>55</v>
      </c>
      <c r="B28" s="92"/>
      <c r="C28" s="92"/>
      <c r="D28" s="92"/>
      <c r="E28" s="92"/>
      <c r="F28" s="92"/>
      <c r="G28" s="92"/>
      <c r="H28" s="92"/>
      <c r="I28" s="92"/>
      <c r="J28" s="9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0" t="s">
        <v>49</v>
      </c>
      <c r="B29" s="46"/>
      <c r="C29" s="90">
        <v>87.521000000000001</v>
      </c>
      <c r="D29" s="31" t="s">
        <v>50</v>
      </c>
      <c r="E29" s="37">
        <v>1000</v>
      </c>
      <c r="F29" s="64" t="s">
        <v>51</v>
      </c>
      <c r="G29" s="46"/>
      <c r="H29" s="56" t="str">
        <f>IF(AND(C30&lt;0.15),"&lt;0.15",C30)</f>
        <v>&lt;0.15</v>
      </c>
      <c r="I29" s="57"/>
      <c r="J29" s="33" t="s">
        <v>52</v>
      </c>
    </row>
    <row r="30" spans="1:26" ht="15.75" customHeight="1">
      <c r="A30" s="34" t="s">
        <v>53</v>
      </c>
      <c r="B30" s="35"/>
      <c r="C30" s="58">
        <f>C29/1000</f>
        <v>8.7521000000000002E-2</v>
      </c>
      <c r="D30" s="59"/>
      <c r="E30" s="36"/>
      <c r="F30" s="35"/>
      <c r="G30" s="35"/>
      <c r="H30" s="35"/>
      <c r="I30" s="35"/>
      <c r="J30" s="33"/>
    </row>
    <row r="31" spans="1:26" ht="15.75" customHeight="1">
      <c r="A31" s="86" t="s">
        <v>57</v>
      </c>
      <c r="B31" s="66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7" t="s">
        <v>59</v>
      </c>
      <c r="C32" s="46"/>
      <c r="D32" s="46"/>
      <c r="E32" s="69"/>
      <c r="F32" s="1"/>
      <c r="G32" s="1"/>
      <c r="H32" s="1"/>
      <c r="I32" s="1"/>
      <c r="J32" s="16"/>
    </row>
    <row r="33" spans="1:26" ht="15.75" customHeight="1">
      <c r="A33" s="21"/>
      <c r="B33" s="46"/>
      <c r="C33" s="46"/>
      <c r="D33" s="46"/>
      <c r="E33" s="69"/>
      <c r="F33" s="22"/>
      <c r="G33" s="1"/>
      <c r="H33" s="1"/>
      <c r="I33" s="1"/>
      <c r="J33" s="16"/>
    </row>
    <row r="34" spans="1:26" ht="15.75" customHeight="1">
      <c r="A34" s="23"/>
      <c r="B34" s="87" t="s">
        <v>60</v>
      </c>
      <c r="C34" s="46"/>
      <c r="D34" s="46"/>
      <c r="E34" s="69"/>
      <c r="F34" s="1"/>
      <c r="G34" s="1"/>
      <c r="H34" s="1"/>
      <c r="I34" s="1"/>
      <c r="J34" s="16"/>
    </row>
    <row r="35" spans="1:26" ht="15.75" customHeight="1">
      <c r="A35" s="23"/>
      <c r="B35" s="46"/>
      <c r="C35" s="46"/>
      <c r="D35" s="46"/>
      <c r="E35" s="6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3.5" customHeight="1">
      <c r="A38" s="88" t="s">
        <v>61</v>
      </c>
      <c r="B38" s="66"/>
      <c r="C38" s="66"/>
      <c r="D38" s="66"/>
      <c r="E38" s="67"/>
      <c r="F38" s="24"/>
      <c r="G38" s="25"/>
      <c r="H38" s="25"/>
      <c r="I38" s="25"/>
      <c r="J38" s="17"/>
    </row>
    <row r="39" spans="1:26" ht="12.75" customHeight="1">
      <c r="A39" s="84"/>
      <c r="B39" s="85"/>
      <c r="C39" s="85"/>
      <c r="D39" s="85"/>
      <c r="E39" s="89"/>
      <c r="F39" s="39" t="s">
        <v>67</v>
      </c>
      <c r="G39" s="27"/>
      <c r="H39" s="27"/>
      <c r="I39" s="27"/>
      <c r="J39" s="28"/>
    </row>
    <row r="40" spans="1:26" ht="15.75" customHeight="1">
      <c r="A40" s="83" t="s">
        <v>62</v>
      </c>
      <c r="B40" s="66"/>
      <c r="C40" s="66"/>
      <c r="D40" s="66"/>
      <c r="E40" s="66"/>
      <c r="F40" s="29"/>
      <c r="G40" s="25"/>
      <c r="H40" s="25"/>
      <c r="I40" s="25"/>
      <c r="J40" s="16"/>
    </row>
    <row r="41" spans="1:26" ht="11.25" customHeight="1">
      <c r="A41" s="84"/>
      <c r="B41" s="85"/>
      <c r="C41" s="85"/>
      <c r="D41" s="85"/>
      <c r="E41" s="85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B34:E35"/>
    <mergeCell ref="A38:E39"/>
    <mergeCell ref="A40:E41"/>
    <mergeCell ref="A29:B29"/>
    <mergeCell ref="F29:G29"/>
    <mergeCell ref="H29:I29"/>
    <mergeCell ref="C30:D30"/>
    <mergeCell ref="A31:B31"/>
    <mergeCell ref="B32:E33"/>
    <mergeCell ref="A25:J25"/>
    <mergeCell ref="A26:B26"/>
    <mergeCell ref="F26:G26"/>
    <mergeCell ref="H26:I26"/>
    <mergeCell ref="C27:D27"/>
    <mergeCell ref="A28:J28"/>
    <mergeCell ref="C21:D21"/>
    <mergeCell ref="A22:J22"/>
    <mergeCell ref="A23:B23"/>
    <mergeCell ref="F23:G23"/>
    <mergeCell ref="H23:I23"/>
    <mergeCell ref="C24:D24"/>
    <mergeCell ref="F18:H18"/>
    <mergeCell ref="I18:J18"/>
    <mergeCell ref="A19:J19"/>
    <mergeCell ref="A20:B20"/>
    <mergeCell ref="F20:G20"/>
    <mergeCell ref="H20:I20"/>
    <mergeCell ref="A16:B16"/>
    <mergeCell ref="C16:E16"/>
    <mergeCell ref="F16:H16"/>
    <mergeCell ref="I16:J16"/>
    <mergeCell ref="F17:H17"/>
    <mergeCell ref="I17:J17"/>
    <mergeCell ref="F14:H14"/>
    <mergeCell ref="I14:J14"/>
    <mergeCell ref="A15:B15"/>
    <mergeCell ref="C15:D15"/>
    <mergeCell ref="F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5:J5"/>
    <mergeCell ref="A6:J6"/>
    <mergeCell ref="A7:B7"/>
    <mergeCell ref="C7:E7"/>
    <mergeCell ref="G7:J7"/>
    <mergeCell ref="A8:B8"/>
    <mergeCell ref="C8:D8"/>
    <mergeCell ref="I8:J8"/>
    <mergeCell ref="A1:J1"/>
    <mergeCell ref="A2:J2"/>
    <mergeCell ref="A3:C3"/>
    <mergeCell ref="D3:J3"/>
    <mergeCell ref="A4:C4"/>
    <mergeCell ref="D4:J4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view="pageLayout" zoomScale="112" zoomScaleNormal="100" zoomScalePageLayoutView="112" workbookViewId="0">
      <selection activeCell="G7" sqref="G7:J7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0" t="s">
        <v>0</v>
      </c>
      <c r="B1" s="71"/>
      <c r="C1" s="71"/>
      <c r="D1" s="71"/>
      <c r="E1" s="71"/>
      <c r="F1" s="71"/>
      <c r="G1" s="71"/>
      <c r="H1" s="71"/>
      <c r="I1" s="71"/>
      <c r="J1" s="72"/>
    </row>
    <row r="2" spans="1:26">
      <c r="A2" s="70" t="s">
        <v>1</v>
      </c>
      <c r="B2" s="71"/>
      <c r="C2" s="71"/>
      <c r="D2" s="71"/>
      <c r="E2" s="71"/>
      <c r="F2" s="71"/>
      <c r="G2" s="71"/>
      <c r="H2" s="71"/>
      <c r="I2" s="71"/>
      <c r="J2" s="72"/>
    </row>
    <row r="3" spans="1:26">
      <c r="A3" s="73" t="s">
        <v>2</v>
      </c>
      <c r="B3" s="71"/>
      <c r="C3" s="72"/>
      <c r="D3" s="94">
        <v>2024070099</v>
      </c>
      <c r="E3" s="95"/>
      <c r="F3" s="95"/>
      <c r="G3" s="95"/>
      <c r="H3" s="95"/>
      <c r="I3" s="95"/>
      <c r="J3" s="96"/>
    </row>
    <row r="4" spans="1:26">
      <c r="A4" s="73" t="s">
        <v>3</v>
      </c>
      <c r="B4" s="71"/>
      <c r="C4" s="72"/>
      <c r="D4" s="94">
        <v>80824</v>
      </c>
      <c r="E4" s="95"/>
      <c r="F4" s="95"/>
      <c r="G4" s="95"/>
      <c r="H4" s="95"/>
      <c r="I4" s="95"/>
      <c r="J4" s="96"/>
    </row>
    <row r="5" spans="1:26" ht="15" customHeight="1">
      <c r="A5" s="74" t="s">
        <v>4</v>
      </c>
      <c r="B5" s="71"/>
      <c r="C5" s="71"/>
      <c r="D5" s="71"/>
      <c r="E5" s="71"/>
      <c r="F5" s="71"/>
      <c r="G5" s="71"/>
      <c r="H5" s="71"/>
      <c r="I5" s="71"/>
      <c r="J5" s="7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4" t="s">
        <v>5</v>
      </c>
      <c r="B6" s="71"/>
      <c r="C6" s="71"/>
      <c r="D6" s="71"/>
      <c r="E6" s="71"/>
      <c r="F6" s="71"/>
      <c r="G6" s="71"/>
      <c r="H6" s="71"/>
      <c r="I6" s="71"/>
      <c r="J6" s="72"/>
    </row>
    <row r="7" spans="1:26" ht="30" customHeight="1">
      <c r="A7" s="75" t="s">
        <v>6</v>
      </c>
      <c r="B7" s="66"/>
      <c r="C7" s="76" t="s">
        <v>7</v>
      </c>
      <c r="D7" s="66"/>
      <c r="E7" s="66"/>
      <c r="F7" s="2" t="s">
        <v>8</v>
      </c>
      <c r="G7" s="65" t="s">
        <v>9</v>
      </c>
      <c r="H7" s="66"/>
      <c r="I7" s="66"/>
      <c r="J7" s="67"/>
    </row>
    <row r="8" spans="1:26" ht="15" customHeight="1">
      <c r="A8" s="77" t="s">
        <v>10</v>
      </c>
      <c r="B8" s="46"/>
      <c r="C8" s="78" t="s">
        <v>11</v>
      </c>
      <c r="D8" s="46"/>
      <c r="E8" s="4"/>
      <c r="F8" s="5" t="s">
        <v>12</v>
      </c>
      <c r="G8" s="6" t="s">
        <v>13</v>
      </c>
      <c r="H8" s="6" t="s">
        <v>14</v>
      </c>
      <c r="I8" s="68"/>
      <c r="J8" s="69"/>
    </row>
    <row r="9" spans="1:26" ht="30" customHeight="1">
      <c r="A9" s="77" t="s">
        <v>15</v>
      </c>
      <c r="B9" s="46"/>
      <c r="C9" s="78" t="s">
        <v>16</v>
      </c>
      <c r="D9" s="46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7" t="s">
        <v>20</v>
      </c>
      <c r="B10" s="46"/>
      <c r="C10" s="78" t="s">
        <v>21</v>
      </c>
      <c r="D10" s="46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7" t="s">
        <v>25</v>
      </c>
      <c r="B11" s="46"/>
      <c r="C11" s="78" t="s">
        <v>26</v>
      </c>
      <c r="D11" s="46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7" t="s">
        <v>30</v>
      </c>
      <c r="B12" s="46"/>
      <c r="C12" s="78" t="s">
        <v>31</v>
      </c>
      <c r="D12" s="46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7" t="s">
        <v>35</v>
      </c>
      <c r="B13" s="46"/>
      <c r="C13" s="78" t="s">
        <v>36</v>
      </c>
      <c r="D13" s="46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7" t="s">
        <v>40</v>
      </c>
      <c r="B14" s="46"/>
      <c r="C14" s="78" t="s">
        <v>41</v>
      </c>
      <c r="D14" s="46"/>
      <c r="E14" s="7"/>
      <c r="F14" s="79" t="s">
        <v>42</v>
      </c>
      <c r="G14" s="46"/>
      <c r="H14" s="46"/>
      <c r="I14" s="80" t="s">
        <v>43</v>
      </c>
      <c r="J14" s="69"/>
    </row>
    <row r="15" spans="1:26" ht="15" customHeight="1">
      <c r="A15" s="77" t="s">
        <v>44</v>
      </c>
      <c r="B15" s="46"/>
      <c r="C15" s="78" t="s">
        <v>45</v>
      </c>
      <c r="D15" s="46"/>
      <c r="E15" s="7"/>
      <c r="F15" s="81" t="s">
        <v>64</v>
      </c>
      <c r="G15" s="46"/>
      <c r="H15" s="46"/>
      <c r="I15" s="47">
        <v>45808</v>
      </c>
      <c r="J15" s="48"/>
    </row>
    <row r="16" spans="1:26" ht="15" customHeight="1">
      <c r="A16" s="77" t="s">
        <v>46</v>
      </c>
      <c r="B16" s="46"/>
      <c r="C16" s="82" t="s">
        <v>47</v>
      </c>
      <c r="D16" s="46"/>
      <c r="E16" s="46"/>
      <c r="F16" s="45" t="s">
        <v>65</v>
      </c>
      <c r="G16" s="46"/>
      <c r="H16" s="46"/>
      <c r="I16" s="47">
        <v>45716</v>
      </c>
      <c r="J16" s="48"/>
    </row>
    <row r="17" spans="1:26">
      <c r="A17" s="3"/>
      <c r="B17" s="2"/>
      <c r="C17" s="13"/>
      <c r="D17" s="13"/>
      <c r="E17" s="13"/>
      <c r="F17" s="45" t="s">
        <v>66</v>
      </c>
      <c r="G17" s="46"/>
      <c r="H17" s="46"/>
      <c r="I17" s="47">
        <v>45688</v>
      </c>
      <c r="J17" s="4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9" t="s">
        <v>63</v>
      </c>
      <c r="G18" s="50"/>
      <c r="H18" s="50"/>
      <c r="I18" s="51">
        <v>46142</v>
      </c>
      <c r="J18" s="52"/>
    </row>
    <row r="19" spans="1:26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>
      <c r="A20" s="53" t="s">
        <v>49</v>
      </c>
      <c r="B20" s="54"/>
      <c r="C20" s="90">
        <v>9.4789999999999992</v>
      </c>
      <c r="D20" s="31" t="s">
        <v>50</v>
      </c>
      <c r="E20" s="32">
        <v>1000</v>
      </c>
      <c r="F20" s="55" t="s">
        <v>51</v>
      </c>
      <c r="G20" s="54"/>
      <c r="H20" s="56" t="str">
        <f>IF(AND(C21&lt;0.15),"&lt;0.15",C21)</f>
        <v>&lt;0.15</v>
      </c>
      <c r="I20" s="57"/>
      <c r="J20" s="33" t="s">
        <v>52</v>
      </c>
    </row>
    <row r="21" spans="1:26" ht="15.75" customHeight="1">
      <c r="A21" s="34" t="s">
        <v>53</v>
      </c>
      <c r="B21" s="35"/>
      <c r="C21" s="58">
        <f>C20/1000</f>
        <v>9.4789999999999996E-3</v>
      </c>
      <c r="D21" s="59"/>
      <c r="E21" s="36"/>
      <c r="F21" s="35"/>
      <c r="G21" s="35"/>
      <c r="H21" s="35"/>
      <c r="I21" s="35"/>
      <c r="J21" s="33"/>
    </row>
    <row r="22" spans="1:26" ht="15.75" customHeight="1">
      <c r="A22" s="91" t="s">
        <v>56</v>
      </c>
      <c r="B22" s="92"/>
      <c r="C22" s="92"/>
      <c r="D22" s="92"/>
      <c r="E22" s="92"/>
      <c r="F22" s="92"/>
      <c r="G22" s="92"/>
      <c r="H22" s="92"/>
      <c r="I22" s="92"/>
      <c r="J22" s="9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3" t="s">
        <v>49</v>
      </c>
      <c r="B23" s="54"/>
      <c r="C23" s="90">
        <v>5.0279999999999996</v>
      </c>
      <c r="D23" s="31" t="s">
        <v>50</v>
      </c>
      <c r="E23" s="37">
        <v>1000</v>
      </c>
      <c r="F23" s="55" t="s">
        <v>51</v>
      </c>
      <c r="G23" s="54"/>
      <c r="H23" s="56" t="str">
        <f>IF(C24&lt;0.15,"&lt;0.15",C24)</f>
        <v>&lt;0.15</v>
      </c>
      <c r="I23" s="57"/>
      <c r="J23" s="33" t="s">
        <v>52</v>
      </c>
    </row>
    <row r="24" spans="1:26" ht="15.75" customHeight="1">
      <c r="A24" s="34" t="s">
        <v>53</v>
      </c>
      <c r="B24" s="35"/>
      <c r="C24" s="58">
        <f>C23/1000</f>
        <v>5.0279999999999995E-3</v>
      </c>
      <c r="D24" s="59"/>
      <c r="E24" s="36"/>
      <c r="F24" s="35"/>
      <c r="G24" s="35"/>
      <c r="H24" s="35"/>
      <c r="I24" s="35"/>
      <c r="J24" s="33"/>
    </row>
    <row r="25" spans="1:26" ht="15.75" customHeight="1">
      <c r="A25" s="91" t="s">
        <v>54</v>
      </c>
      <c r="B25" s="92"/>
      <c r="C25" s="92"/>
      <c r="D25" s="92"/>
      <c r="E25" s="92"/>
      <c r="F25" s="92"/>
      <c r="G25" s="92"/>
      <c r="H25" s="92"/>
      <c r="I25" s="92"/>
      <c r="J25" s="9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0" t="s">
        <v>49</v>
      </c>
      <c r="B26" s="46"/>
      <c r="C26" s="90">
        <v>1.746</v>
      </c>
      <c r="D26" s="31" t="s">
        <v>50</v>
      </c>
      <c r="E26" s="37">
        <v>1000</v>
      </c>
      <c r="F26" s="61" t="s">
        <v>51</v>
      </c>
      <c r="G26" s="54"/>
      <c r="H26" s="56" t="str">
        <f>IF(AND(C27&lt;0.15),"&lt;0.15",C27)</f>
        <v>&lt;0.15</v>
      </c>
      <c r="I26" s="57"/>
      <c r="J26" s="38" t="s">
        <v>52</v>
      </c>
    </row>
    <row r="27" spans="1:26" ht="15.75" customHeight="1">
      <c r="A27" s="34" t="s">
        <v>53</v>
      </c>
      <c r="B27" s="35"/>
      <c r="C27" s="62">
        <f>C26/1000</f>
        <v>1.7459999999999999E-3</v>
      </c>
      <c r="D27" s="63"/>
      <c r="E27" s="36"/>
      <c r="F27" s="35"/>
      <c r="G27" s="35"/>
      <c r="H27" s="35"/>
      <c r="I27" s="35"/>
      <c r="J27" s="33"/>
    </row>
    <row r="28" spans="1:26" ht="15.75" customHeight="1">
      <c r="A28" s="91" t="s">
        <v>55</v>
      </c>
      <c r="B28" s="92"/>
      <c r="C28" s="92"/>
      <c r="D28" s="92"/>
      <c r="E28" s="92"/>
      <c r="F28" s="92"/>
      <c r="G28" s="92"/>
      <c r="H28" s="92"/>
      <c r="I28" s="92"/>
      <c r="J28" s="9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0" t="s">
        <v>49</v>
      </c>
      <c r="B29" s="46"/>
      <c r="C29" s="90">
        <v>50.012999999999998</v>
      </c>
      <c r="D29" s="31" t="s">
        <v>50</v>
      </c>
      <c r="E29" s="37">
        <v>1000</v>
      </c>
      <c r="F29" s="64" t="s">
        <v>51</v>
      </c>
      <c r="G29" s="46"/>
      <c r="H29" s="56" t="str">
        <f>IF(AND(C30&lt;0.15),"&lt;0.15",C30)</f>
        <v>&lt;0.15</v>
      </c>
      <c r="I29" s="57"/>
      <c r="J29" s="33" t="s">
        <v>52</v>
      </c>
    </row>
    <row r="30" spans="1:26" ht="15.75" customHeight="1">
      <c r="A30" s="34" t="s">
        <v>53</v>
      </c>
      <c r="B30" s="35"/>
      <c r="C30" s="58">
        <f>C29/1000</f>
        <v>5.0012999999999995E-2</v>
      </c>
      <c r="D30" s="59"/>
      <c r="E30" s="36"/>
      <c r="F30" s="35"/>
      <c r="G30" s="35"/>
      <c r="H30" s="35"/>
      <c r="I30" s="35"/>
      <c r="J30" s="33"/>
    </row>
    <row r="31" spans="1:26" ht="15.75" customHeight="1">
      <c r="A31" s="86" t="s">
        <v>57</v>
      </c>
      <c r="B31" s="66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7" t="s">
        <v>59</v>
      </c>
      <c r="C32" s="46"/>
      <c r="D32" s="46"/>
      <c r="E32" s="69"/>
      <c r="F32" s="1"/>
      <c r="G32" s="1"/>
      <c r="H32" s="1"/>
      <c r="I32" s="1"/>
      <c r="J32" s="16"/>
    </row>
    <row r="33" spans="1:26" ht="15.75" customHeight="1">
      <c r="A33" s="21"/>
      <c r="B33" s="46"/>
      <c r="C33" s="46"/>
      <c r="D33" s="46"/>
      <c r="E33" s="69"/>
      <c r="F33" s="22"/>
      <c r="G33" s="1"/>
      <c r="H33" s="1"/>
      <c r="I33" s="1"/>
      <c r="J33" s="16"/>
    </row>
    <row r="34" spans="1:26" ht="15.75" customHeight="1">
      <c r="A34" s="23"/>
      <c r="B34" s="87" t="s">
        <v>60</v>
      </c>
      <c r="C34" s="46"/>
      <c r="D34" s="46"/>
      <c r="E34" s="69"/>
      <c r="F34" s="1"/>
      <c r="G34" s="1"/>
      <c r="H34" s="1"/>
      <c r="I34" s="1"/>
      <c r="J34" s="16"/>
    </row>
    <row r="35" spans="1:26" ht="15.75" customHeight="1">
      <c r="A35" s="23"/>
      <c r="B35" s="46"/>
      <c r="C35" s="46"/>
      <c r="D35" s="46"/>
      <c r="E35" s="6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3.5" customHeight="1">
      <c r="A38" s="88" t="s">
        <v>61</v>
      </c>
      <c r="B38" s="66"/>
      <c r="C38" s="66"/>
      <c r="D38" s="66"/>
      <c r="E38" s="67"/>
      <c r="F38" s="24"/>
      <c r="G38" s="25"/>
      <c r="H38" s="25"/>
      <c r="I38" s="25"/>
      <c r="J38" s="17"/>
    </row>
    <row r="39" spans="1:26" ht="12.75" customHeight="1">
      <c r="A39" s="84"/>
      <c r="B39" s="85"/>
      <c r="C39" s="85"/>
      <c r="D39" s="85"/>
      <c r="E39" s="89"/>
      <c r="F39" s="39" t="s">
        <v>67</v>
      </c>
      <c r="G39" s="27"/>
      <c r="H39" s="27"/>
      <c r="I39" s="27"/>
      <c r="J39" s="28"/>
    </row>
    <row r="40" spans="1:26" ht="15.75" customHeight="1">
      <c r="A40" s="83" t="s">
        <v>62</v>
      </c>
      <c r="B40" s="66"/>
      <c r="C40" s="66"/>
      <c r="D40" s="66"/>
      <c r="E40" s="66"/>
      <c r="F40" s="29"/>
      <c r="G40" s="25"/>
      <c r="H40" s="25"/>
      <c r="I40" s="25"/>
      <c r="J40" s="16"/>
    </row>
    <row r="41" spans="1:26" ht="11.25" customHeight="1">
      <c r="A41" s="84"/>
      <c r="B41" s="85"/>
      <c r="C41" s="85"/>
      <c r="D41" s="85"/>
      <c r="E41" s="85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2024070285</vt:lpstr>
      <vt:lpstr>2024070267</vt:lpstr>
      <vt:lpstr>2024070266</vt:lpstr>
      <vt:lpstr>2024070256</vt:lpstr>
      <vt:lpstr>2024070255</vt:lpstr>
      <vt:lpstr>2024070254</vt:lpstr>
      <vt:lpstr>2024070253</vt:lpstr>
      <vt:lpstr>2024070251</vt:lpstr>
      <vt:lpstr>2024070200</vt:lpstr>
      <vt:lpstr>2024070193</vt:lpstr>
      <vt:lpstr>2024070100</vt:lpstr>
      <vt:lpstr>2024070099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2024-08-14T02:44:03Z</cp:lastPrinted>
  <dcterms:created xsi:type="dcterms:W3CDTF">2006-09-16T00:00:00Z</dcterms:created>
  <dcterms:modified xsi:type="dcterms:W3CDTF">2024-08-14T02:44:05Z</dcterms:modified>
</cp:coreProperties>
</file>